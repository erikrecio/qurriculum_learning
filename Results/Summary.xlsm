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1. GitHub\qurriculum_learning\qurriculum\Results\"/>
    </mc:Choice>
  </mc:AlternateContent>
  <xr:revisionPtr revIDLastSave="0" documentId="13_ncr:1_{99EA2884-9663-418B-9E0D-4770659F1893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um up" sheetId="2" r:id="rId1"/>
    <sheet name="Data" sheetId="1" r:id="rId2"/>
    <sheet name="cl_type" sheetId="5" r:id="rId3"/>
    <sheet name="loss_type" sheetId="6" r:id="rId4"/>
    <sheet name="sampling_gs" sheetId="7" r:id="rId5"/>
    <sheet name="initialization" sheetId="8" r:id="rId6"/>
    <sheet name="cl_ratios" sheetId="9" r:id="rId7"/>
  </sheets>
  <definedNames>
    <definedName name="_xlnm._FilterDatabase" localSheetId="1" hidden="1">Data!$A$1:$AN$660</definedName>
    <definedName name="_xlnm._FilterDatabase" localSheetId="0" hidden="1">'Sum up'!$A$1:$R$480</definedName>
    <definedName name="ExternalData_2" localSheetId="2" hidden="1">'cl_type'!$A$1:$G$6</definedName>
    <definedName name="ExternalData_3" localSheetId="3" hidden="1">loss_type!$A$1:$H$11</definedName>
    <definedName name="ExternalData_4" localSheetId="3" hidden="1">loss_type!$A$20:$F$26</definedName>
    <definedName name="ExternalData_4" localSheetId="4" hidden="1">sampling_gs!$A$1:$H$11</definedName>
    <definedName name="ExternalData_5" localSheetId="5" hidden="1">initialization!$A$1:$H$11</definedName>
    <definedName name="ExternalData_5" localSheetId="4" hidden="1">sampling_gs!$A$20:$F$26</definedName>
    <definedName name="ExternalData_6" localSheetId="6" hidden="1">cl_ratios!$A$1:$I$24</definedName>
    <definedName name="ExternalData_6" localSheetId="5" hidden="1">initialization!$A$20:$F$26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80" i="2" l="1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AM164" i="1"/>
  <c r="AM165" i="1"/>
  <c r="AM166" i="1"/>
  <c r="O33" i="2"/>
  <c r="N33" i="2"/>
  <c r="M33" i="2"/>
  <c r="L33" i="2"/>
  <c r="K33" i="2"/>
  <c r="I33" i="2"/>
  <c r="H33" i="2"/>
  <c r="G33" i="2"/>
  <c r="F33" i="2"/>
  <c r="E33" i="2"/>
  <c r="O32" i="2"/>
  <c r="N32" i="2"/>
  <c r="M32" i="2"/>
  <c r="L32" i="2"/>
  <c r="K32" i="2"/>
  <c r="I32" i="2"/>
  <c r="H32" i="2"/>
  <c r="G32" i="2"/>
  <c r="F32" i="2"/>
  <c r="E32" i="2"/>
  <c r="O31" i="2"/>
  <c r="N31" i="2"/>
  <c r="M31" i="2"/>
  <c r="L31" i="2"/>
  <c r="K31" i="2"/>
  <c r="I31" i="2"/>
  <c r="H31" i="2"/>
  <c r="G31" i="2"/>
  <c r="F31" i="2"/>
  <c r="E31" i="2"/>
  <c r="O30" i="2"/>
  <c r="N30" i="2"/>
  <c r="M30" i="2"/>
  <c r="L30" i="2"/>
  <c r="K30" i="2"/>
  <c r="I30" i="2"/>
  <c r="H30" i="2"/>
  <c r="G30" i="2"/>
  <c r="F30" i="2"/>
  <c r="E30" i="2"/>
  <c r="O29" i="2"/>
  <c r="N29" i="2"/>
  <c r="M29" i="2"/>
  <c r="L29" i="2"/>
  <c r="K29" i="2"/>
  <c r="I29" i="2"/>
  <c r="H29" i="2"/>
  <c r="G29" i="2"/>
  <c r="F29" i="2"/>
  <c r="E29" i="2"/>
  <c r="O28" i="2"/>
  <c r="N28" i="2"/>
  <c r="M28" i="2"/>
  <c r="L28" i="2"/>
  <c r="K28" i="2"/>
  <c r="I28" i="2"/>
  <c r="H28" i="2"/>
  <c r="G28" i="2"/>
  <c r="F28" i="2"/>
  <c r="E28" i="2"/>
  <c r="O27" i="2"/>
  <c r="N27" i="2"/>
  <c r="M27" i="2"/>
  <c r="L27" i="2"/>
  <c r="K27" i="2"/>
  <c r="I27" i="2"/>
  <c r="H27" i="2"/>
  <c r="G27" i="2"/>
  <c r="F27" i="2"/>
  <c r="E27" i="2"/>
  <c r="O26" i="2"/>
  <c r="N26" i="2"/>
  <c r="M26" i="2"/>
  <c r="L26" i="2"/>
  <c r="K26" i="2"/>
  <c r="I26" i="2"/>
  <c r="H26" i="2"/>
  <c r="G26" i="2"/>
  <c r="F26" i="2"/>
  <c r="E26" i="2"/>
  <c r="O25" i="2"/>
  <c r="N25" i="2"/>
  <c r="M25" i="2"/>
  <c r="L25" i="2"/>
  <c r="K25" i="2"/>
  <c r="I25" i="2"/>
  <c r="H25" i="2"/>
  <c r="G25" i="2"/>
  <c r="F25" i="2"/>
  <c r="E25" i="2"/>
  <c r="O24" i="2"/>
  <c r="N24" i="2"/>
  <c r="M24" i="2"/>
  <c r="L24" i="2"/>
  <c r="K24" i="2"/>
  <c r="I24" i="2"/>
  <c r="H24" i="2"/>
  <c r="G24" i="2"/>
  <c r="F24" i="2"/>
  <c r="E24" i="2"/>
  <c r="O23" i="2"/>
  <c r="N23" i="2"/>
  <c r="M23" i="2"/>
  <c r="L23" i="2"/>
  <c r="K23" i="2"/>
  <c r="I23" i="2"/>
  <c r="H23" i="2"/>
  <c r="G23" i="2"/>
  <c r="F23" i="2"/>
  <c r="E23" i="2"/>
  <c r="O22" i="2"/>
  <c r="N22" i="2"/>
  <c r="M22" i="2"/>
  <c r="L22" i="2"/>
  <c r="K22" i="2"/>
  <c r="I22" i="2"/>
  <c r="H22" i="2"/>
  <c r="G22" i="2"/>
  <c r="F22" i="2"/>
  <c r="E22" i="2"/>
  <c r="O21" i="2"/>
  <c r="N21" i="2"/>
  <c r="M21" i="2"/>
  <c r="L21" i="2"/>
  <c r="K21" i="2"/>
  <c r="I21" i="2"/>
  <c r="H21" i="2"/>
  <c r="G21" i="2"/>
  <c r="F21" i="2"/>
  <c r="E21" i="2"/>
  <c r="O20" i="2"/>
  <c r="N20" i="2"/>
  <c r="M20" i="2"/>
  <c r="L20" i="2"/>
  <c r="K20" i="2"/>
  <c r="I20" i="2"/>
  <c r="H20" i="2"/>
  <c r="G20" i="2"/>
  <c r="F20" i="2"/>
  <c r="E20" i="2"/>
  <c r="O19" i="2"/>
  <c r="N19" i="2"/>
  <c r="M19" i="2"/>
  <c r="L19" i="2"/>
  <c r="K19" i="2"/>
  <c r="I19" i="2"/>
  <c r="H19" i="2"/>
  <c r="G19" i="2"/>
  <c r="F19" i="2"/>
  <c r="E19" i="2"/>
  <c r="O18" i="2"/>
  <c r="N18" i="2"/>
  <c r="M18" i="2"/>
  <c r="L18" i="2"/>
  <c r="K18" i="2"/>
  <c r="I18" i="2"/>
  <c r="H18" i="2"/>
  <c r="G18" i="2"/>
  <c r="F18" i="2"/>
  <c r="E18" i="2"/>
  <c r="O17" i="2"/>
  <c r="N17" i="2"/>
  <c r="M17" i="2"/>
  <c r="L17" i="2"/>
  <c r="K17" i="2"/>
  <c r="I17" i="2"/>
  <c r="H17" i="2"/>
  <c r="G17" i="2"/>
  <c r="F17" i="2"/>
  <c r="E17" i="2"/>
  <c r="O16" i="2"/>
  <c r="N16" i="2"/>
  <c r="M16" i="2"/>
  <c r="L16" i="2"/>
  <c r="K16" i="2"/>
  <c r="I16" i="2"/>
  <c r="H16" i="2"/>
  <c r="G16" i="2"/>
  <c r="F16" i="2"/>
  <c r="E16" i="2"/>
  <c r="O15" i="2"/>
  <c r="N15" i="2"/>
  <c r="M15" i="2"/>
  <c r="L15" i="2"/>
  <c r="K15" i="2"/>
  <c r="I15" i="2"/>
  <c r="H15" i="2"/>
  <c r="G15" i="2"/>
  <c r="F15" i="2"/>
  <c r="E15" i="2"/>
  <c r="O14" i="2"/>
  <c r="N14" i="2"/>
  <c r="M14" i="2"/>
  <c r="L14" i="2"/>
  <c r="K14" i="2"/>
  <c r="I14" i="2"/>
  <c r="H14" i="2"/>
  <c r="G14" i="2"/>
  <c r="F14" i="2"/>
  <c r="E14" i="2"/>
  <c r="O13" i="2"/>
  <c r="N13" i="2"/>
  <c r="M13" i="2"/>
  <c r="L13" i="2"/>
  <c r="K13" i="2"/>
  <c r="I13" i="2"/>
  <c r="H13" i="2"/>
  <c r="G13" i="2"/>
  <c r="F13" i="2"/>
  <c r="E13" i="2"/>
  <c r="O12" i="2"/>
  <c r="N12" i="2"/>
  <c r="M12" i="2"/>
  <c r="L12" i="2"/>
  <c r="K12" i="2"/>
  <c r="I12" i="2"/>
  <c r="H12" i="2"/>
  <c r="G12" i="2"/>
  <c r="F12" i="2"/>
  <c r="E12" i="2"/>
  <c r="O11" i="2"/>
  <c r="N11" i="2"/>
  <c r="M11" i="2"/>
  <c r="L11" i="2"/>
  <c r="K11" i="2"/>
  <c r="I11" i="2"/>
  <c r="H11" i="2"/>
  <c r="G11" i="2"/>
  <c r="F11" i="2"/>
  <c r="E11" i="2"/>
  <c r="O10" i="2"/>
  <c r="N10" i="2"/>
  <c r="M10" i="2"/>
  <c r="L10" i="2"/>
  <c r="K10" i="2"/>
  <c r="I10" i="2"/>
  <c r="H10" i="2"/>
  <c r="G10" i="2"/>
  <c r="F10" i="2"/>
  <c r="E10" i="2"/>
  <c r="O9" i="2"/>
  <c r="N9" i="2"/>
  <c r="M9" i="2"/>
  <c r="L9" i="2"/>
  <c r="K9" i="2"/>
  <c r="I9" i="2"/>
  <c r="H9" i="2"/>
  <c r="G9" i="2"/>
  <c r="F9" i="2"/>
  <c r="E9" i="2"/>
  <c r="O8" i="2"/>
  <c r="N8" i="2"/>
  <c r="M8" i="2"/>
  <c r="L8" i="2"/>
  <c r="K8" i="2"/>
  <c r="I8" i="2"/>
  <c r="H8" i="2"/>
  <c r="G8" i="2"/>
  <c r="F8" i="2"/>
  <c r="E8" i="2"/>
  <c r="O7" i="2"/>
  <c r="N7" i="2"/>
  <c r="M7" i="2"/>
  <c r="L7" i="2"/>
  <c r="K7" i="2"/>
  <c r="I7" i="2"/>
  <c r="H7" i="2"/>
  <c r="G7" i="2"/>
  <c r="F7" i="2"/>
  <c r="E7" i="2"/>
  <c r="O6" i="2"/>
  <c r="N6" i="2"/>
  <c r="M6" i="2"/>
  <c r="L6" i="2"/>
  <c r="K6" i="2"/>
  <c r="I6" i="2"/>
  <c r="H6" i="2"/>
  <c r="G6" i="2"/>
  <c r="F6" i="2"/>
  <c r="E6" i="2"/>
  <c r="O5" i="2"/>
  <c r="N5" i="2"/>
  <c r="M5" i="2"/>
  <c r="L5" i="2"/>
  <c r="K5" i="2"/>
  <c r="I5" i="2"/>
  <c r="H5" i="2"/>
  <c r="G5" i="2"/>
  <c r="F5" i="2"/>
  <c r="E5" i="2"/>
  <c r="O4" i="2"/>
  <c r="N4" i="2"/>
  <c r="M4" i="2"/>
  <c r="L4" i="2"/>
  <c r="K4" i="2"/>
  <c r="I4" i="2"/>
  <c r="H4" i="2"/>
  <c r="G4" i="2"/>
  <c r="F4" i="2"/>
  <c r="E4" i="2"/>
  <c r="O3" i="2"/>
  <c r="N3" i="2"/>
  <c r="M3" i="2"/>
  <c r="L3" i="2"/>
  <c r="K3" i="2"/>
  <c r="I3" i="2"/>
  <c r="H3" i="2"/>
  <c r="G3" i="2"/>
  <c r="F3" i="2"/>
  <c r="E3" i="2"/>
  <c r="O2" i="2"/>
  <c r="N2" i="2"/>
  <c r="M2" i="2"/>
  <c r="L2" i="2"/>
  <c r="K2" i="2"/>
  <c r="I2" i="2"/>
  <c r="H2" i="2"/>
  <c r="G2" i="2"/>
  <c r="F2" i="2"/>
  <c r="E2" i="2"/>
  <c r="O43" i="2"/>
  <c r="N43" i="2"/>
  <c r="M43" i="2"/>
  <c r="L43" i="2"/>
  <c r="K43" i="2"/>
  <c r="I43" i="2"/>
  <c r="H43" i="2"/>
  <c r="G43" i="2"/>
  <c r="F43" i="2"/>
  <c r="E43" i="2"/>
  <c r="O42" i="2"/>
  <c r="N42" i="2"/>
  <c r="M42" i="2"/>
  <c r="L42" i="2"/>
  <c r="K42" i="2"/>
  <c r="I42" i="2"/>
  <c r="H42" i="2"/>
  <c r="G42" i="2"/>
  <c r="F42" i="2"/>
  <c r="E42" i="2"/>
  <c r="O41" i="2"/>
  <c r="N41" i="2"/>
  <c r="M41" i="2"/>
  <c r="L41" i="2"/>
  <c r="K41" i="2"/>
  <c r="I41" i="2"/>
  <c r="H41" i="2"/>
  <c r="G41" i="2"/>
  <c r="F41" i="2"/>
  <c r="E41" i="2"/>
  <c r="O40" i="2"/>
  <c r="N40" i="2"/>
  <c r="M40" i="2"/>
  <c r="L40" i="2"/>
  <c r="K40" i="2"/>
  <c r="I40" i="2"/>
  <c r="H40" i="2"/>
  <c r="G40" i="2"/>
  <c r="F40" i="2"/>
  <c r="E40" i="2"/>
  <c r="O39" i="2"/>
  <c r="N39" i="2"/>
  <c r="M39" i="2"/>
  <c r="L39" i="2"/>
  <c r="K39" i="2"/>
  <c r="I39" i="2"/>
  <c r="H39" i="2"/>
  <c r="G39" i="2"/>
  <c r="F39" i="2"/>
  <c r="E39" i="2"/>
  <c r="O38" i="2"/>
  <c r="N38" i="2"/>
  <c r="M38" i="2"/>
  <c r="L38" i="2"/>
  <c r="K38" i="2"/>
  <c r="I38" i="2"/>
  <c r="H38" i="2"/>
  <c r="G38" i="2"/>
  <c r="F38" i="2"/>
  <c r="E38" i="2"/>
  <c r="O37" i="2"/>
  <c r="N37" i="2"/>
  <c r="M37" i="2"/>
  <c r="L37" i="2"/>
  <c r="K37" i="2"/>
  <c r="I37" i="2"/>
  <c r="H37" i="2"/>
  <c r="G37" i="2"/>
  <c r="F37" i="2"/>
  <c r="E37" i="2"/>
  <c r="O36" i="2"/>
  <c r="N36" i="2"/>
  <c r="M36" i="2"/>
  <c r="L36" i="2"/>
  <c r="K36" i="2"/>
  <c r="I36" i="2"/>
  <c r="H36" i="2"/>
  <c r="G36" i="2"/>
  <c r="F36" i="2"/>
  <c r="E36" i="2"/>
  <c r="O35" i="2"/>
  <c r="N35" i="2"/>
  <c r="M35" i="2"/>
  <c r="L35" i="2"/>
  <c r="K35" i="2"/>
  <c r="I35" i="2"/>
  <c r="H35" i="2"/>
  <c r="G35" i="2"/>
  <c r="F35" i="2"/>
  <c r="E35" i="2"/>
  <c r="O34" i="2"/>
  <c r="N34" i="2"/>
  <c r="M34" i="2"/>
  <c r="L34" i="2"/>
  <c r="K34" i="2"/>
  <c r="I34" i="2"/>
  <c r="H34" i="2"/>
  <c r="G34" i="2"/>
  <c r="F34" i="2"/>
  <c r="E34" i="2"/>
  <c r="AM660" i="1"/>
  <c r="AM659" i="1"/>
  <c r="AM658" i="1"/>
  <c r="AM657" i="1"/>
  <c r="AM656" i="1"/>
  <c r="AM655" i="1"/>
  <c r="AM654" i="1"/>
  <c r="AM653" i="1"/>
  <c r="AM652" i="1"/>
  <c r="AM651" i="1"/>
  <c r="AM650" i="1"/>
  <c r="AM649" i="1"/>
  <c r="AM648" i="1"/>
  <c r="AM647" i="1"/>
  <c r="AM646" i="1"/>
  <c r="AM645" i="1"/>
  <c r="AM644" i="1"/>
  <c r="AM643" i="1"/>
  <c r="AM642" i="1"/>
  <c r="AM641" i="1"/>
  <c r="AM640" i="1"/>
  <c r="AM639" i="1"/>
  <c r="AM638" i="1"/>
  <c r="AM637" i="1"/>
  <c r="AM636" i="1"/>
  <c r="AM635" i="1"/>
  <c r="AM634" i="1"/>
  <c r="AM633" i="1"/>
  <c r="AM632" i="1"/>
  <c r="AM631" i="1"/>
  <c r="AM630" i="1"/>
  <c r="AM629" i="1"/>
  <c r="AM628" i="1"/>
  <c r="AM627" i="1"/>
  <c r="AM626" i="1"/>
  <c r="AM625" i="1"/>
  <c r="AM624" i="1"/>
  <c r="AM623" i="1"/>
  <c r="AM622" i="1"/>
  <c r="AM621" i="1"/>
  <c r="AM620" i="1"/>
  <c r="AM619" i="1"/>
  <c r="AM618" i="1"/>
  <c r="AM617" i="1"/>
  <c r="AM616" i="1"/>
  <c r="AM615" i="1"/>
  <c r="AM614" i="1"/>
  <c r="AM613" i="1"/>
  <c r="AM612" i="1"/>
  <c r="AM611" i="1"/>
  <c r="AM610" i="1"/>
  <c r="AM609" i="1"/>
  <c r="AM608" i="1"/>
  <c r="AM607" i="1"/>
  <c r="AM606" i="1"/>
  <c r="AM605" i="1"/>
  <c r="AM604" i="1"/>
  <c r="AM603" i="1"/>
  <c r="AM602" i="1"/>
  <c r="AM601" i="1"/>
  <c r="AM600" i="1"/>
  <c r="AM599" i="1"/>
  <c r="AM598" i="1"/>
  <c r="AM597" i="1"/>
  <c r="AM596" i="1"/>
  <c r="AM595" i="1"/>
  <c r="AM594" i="1"/>
  <c r="AM593" i="1"/>
  <c r="AM592" i="1"/>
  <c r="AM591" i="1"/>
  <c r="AM590" i="1"/>
  <c r="AM589" i="1"/>
  <c r="AM588" i="1"/>
  <c r="AM587" i="1"/>
  <c r="AM586" i="1"/>
  <c r="AM585" i="1"/>
  <c r="AM584" i="1"/>
  <c r="AM583" i="1"/>
  <c r="AM582" i="1"/>
  <c r="AM581" i="1"/>
  <c r="AM580" i="1"/>
  <c r="AM579" i="1"/>
  <c r="AM578" i="1"/>
  <c r="AM577" i="1"/>
  <c r="AM576" i="1"/>
  <c r="AM575" i="1"/>
  <c r="AM574" i="1"/>
  <c r="AM573" i="1"/>
  <c r="AM572" i="1"/>
  <c r="AM571" i="1"/>
  <c r="AM570" i="1"/>
  <c r="AM569" i="1"/>
  <c r="AM568" i="1"/>
  <c r="AM567" i="1"/>
  <c r="AM566" i="1"/>
  <c r="AM565" i="1"/>
  <c r="AM564" i="1"/>
  <c r="AM563" i="1"/>
  <c r="AM562" i="1"/>
  <c r="AM561" i="1"/>
  <c r="AM560" i="1"/>
  <c r="AM559" i="1"/>
  <c r="AM558" i="1"/>
  <c r="AM557" i="1"/>
  <c r="AM556" i="1"/>
  <c r="AM555" i="1"/>
  <c r="AM554" i="1"/>
  <c r="AM553" i="1"/>
  <c r="AM552" i="1"/>
  <c r="AM551" i="1"/>
  <c r="AM550" i="1"/>
  <c r="AM549" i="1"/>
  <c r="AM548" i="1"/>
  <c r="AM547" i="1"/>
  <c r="AM546" i="1"/>
  <c r="AM545" i="1"/>
  <c r="AM544" i="1"/>
  <c r="AM543" i="1"/>
  <c r="AM542" i="1"/>
  <c r="AM541" i="1"/>
  <c r="AM540" i="1"/>
  <c r="AM539" i="1"/>
  <c r="AM538" i="1"/>
  <c r="AM537" i="1"/>
  <c r="AM536" i="1"/>
  <c r="AM535" i="1"/>
  <c r="AM534" i="1"/>
  <c r="AM533" i="1"/>
  <c r="AM532" i="1"/>
  <c r="AM531" i="1"/>
  <c r="AM530" i="1"/>
  <c r="AM529" i="1"/>
  <c r="AM528" i="1"/>
  <c r="AM527" i="1"/>
  <c r="AM526" i="1"/>
  <c r="AM525" i="1"/>
  <c r="AM524" i="1"/>
  <c r="AM523" i="1"/>
  <c r="AM522" i="1"/>
  <c r="AM521" i="1"/>
  <c r="AM520" i="1"/>
  <c r="AM519" i="1"/>
  <c r="AM518" i="1"/>
  <c r="AM517" i="1"/>
  <c r="AM516" i="1"/>
  <c r="AM515" i="1"/>
  <c r="AM514" i="1"/>
  <c r="AM513" i="1"/>
  <c r="AM512" i="1"/>
  <c r="AM511" i="1"/>
  <c r="AM510" i="1"/>
  <c r="AM509" i="1"/>
  <c r="AM508" i="1"/>
  <c r="AM507" i="1"/>
  <c r="AM506" i="1"/>
  <c r="AM505" i="1"/>
  <c r="AM504" i="1"/>
  <c r="AM503" i="1"/>
  <c r="AM502" i="1"/>
  <c r="AM501" i="1"/>
  <c r="AM500" i="1"/>
  <c r="AM499" i="1"/>
  <c r="AM498" i="1"/>
  <c r="AM497" i="1"/>
  <c r="AM496" i="1"/>
  <c r="AM495" i="1"/>
  <c r="AM494" i="1"/>
  <c r="AM493" i="1"/>
  <c r="AM492" i="1"/>
  <c r="AM491" i="1"/>
  <c r="AM490" i="1"/>
  <c r="AM489" i="1"/>
  <c r="AM488" i="1"/>
  <c r="AM487" i="1"/>
  <c r="AM486" i="1"/>
  <c r="AM485" i="1"/>
  <c r="AM484" i="1"/>
  <c r="AM483" i="1"/>
  <c r="AM482" i="1"/>
  <c r="AM481" i="1"/>
  <c r="AM480" i="1"/>
  <c r="AM479" i="1"/>
  <c r="AM478" i="1"/>
  <c r="AM477" i="1"/>
  <c r="AM476" i="1"/>
  <c r="AM475" i="1"/>
  <c r="AM474" i="1"/>
  <c r="AM473" i="1"/>
  <c r="AM472" i="1"/>
  <c r="AM471" i="1"/>
  <c r="AM470" i="1"/>
  <c r="AM469" i="1"/>
  <c r="AM468" i="1"/>
  <c r="AM467" i="1"/>
  <c r="AM466" i="1"/>
  <c r="AM465" i="1"/>
  <c r="AM464" i="1"/>
  <c r="AM463" i="1"/>
  <c r="AM462" i="1"/>
  <c r="AM461" i="1"/>
  <c r="AM460" i="1"/>
  <c r="AM459" i="1"/>
  <c r="AM458" i="1"/>
  <c r="AM457" i="1"/>
  <c r="AM456" i="1"/>
  <c r="AM455" i="1"/>
  <c r="AM454" i="1"/>
  <c r="AM453" i="1"/>
  <c r="AM452" i="1"/>
  <c r="AM451" i="1"/>
  <c r="AM450" i="1"/>
  <c r="AM449" i="1"/>
  <c r="AM448" i="1"/>
  <c r="AM447" i="1"/>
  <c r="AM446" i="1"/>
  <c r="AM445" i="1"/>
  <c r="AM444" i="1"/>
  <c r="AM443" i="1"/>
  <c r="AM442" i="1"/>
  <c r="AM441" i="1"/>
  <c r="AM440" i="1"/>
  <c r="AM439" i="1"/>
  <c r="AM438" i="1"/>
  <c r="AM437" i="1"/>
  <c r="AM436" i="1"/>
  <c r="AM435" i="1"/>
  <c r="AM434" i="1"/>
  <c r="AM433" i="1"/>
  <c r="AM432" i="1"/>
  <c r="AM431" i="1"/>
  <c r="AM430" i="1"/>
  <c r="AM429" i="1"/>
  <c r="AM428" i="1"/>
  <c r="AM427" i="1"/>
  <c r="AM426" i="1"/>
  <c r="AM425" i="1"/>
  <c r="AM424" i="1"/>
  <c r="AM423" i="1"/>
  <c r="AM422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1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5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O480" i="2"/>
  <c r="N480" i="2"/>
  <c r="M480" i="2"/>
  <c r="L480" i="2"/>
  <c r="K480" i="2"/>
  <c r="I480" i="2"/>
  <c r="H480" i="2"/>
  <c r="G480" i="2"/>
  <c r="F480" i="2"/>
  <c r="E480" i="2"/>
  <c r="O479" i="2"/>
  <c r="N479" i="2"/>
  <c r="M479" i="2"/>
  <c r="L479" i="2"/>
  <c r="K479" i="2"/>
  <c r="I479" i="2"/>
  <c r="H479" i="2"/>
  <c r="G479" i="2"/>
  <c r="F479" i="2"/>
  <c r="E479" i="2"/>
  <c r="O478" i="2"/>
  <c r="N478" i="2"/>
  <c r="M478" i="2"/>
  <c r="L478" i="2"/>
  <c r="K478" i="2"/>
  <c r="I478" i="2"/>
  <c r="H478" i="2"/>
  <c r="G478" i="2"/>
  <c r="F478" i="2"/>
  <c r="E478" i="2"/>
  <c r="O477" i="2"/>
  <c r="N477" i="2"/>
  <c r="M477" i="2"/>
  <c r="L477" i="2"/>
  <c r="K477" i="2"/>
  <c r="I477" i="2"/>
  <c r="H477" i="2"/>
  <c r="G477" i="2"/>
  <c r="F477" i="2"/>
  <c r="E477" i="2"/>
  <c r="O476" i="2"/>
  <c r="N476" i="2"/>
  <c r="M476" i="2"/>
  <c r="L476" i="2"/>
  <c r="K476" i="2"/>
  <c r="I476" i="2"/>
  <c r="H476" i="2"/>
  <c r="G476" i="2"/>
  <c r="F476" i="2"/>
  <c r="E476" i="2"/>
  <c r="O475" i="2"/>
  <c r="N475" i="2"/>
  <c r="M475" i="2"/>
  <c r="L475" i="2"/>
  <c r="K475" i="2"/>
  <c r="I475" i="2"/>
  <c r="H475" i="2"/>
  <c r="G475" i="2"/>
  <c r="F475" i="2"/>
  <c r="E475" i="2"/>
  <c r="O474" i="2"/>
  <c r="N474" i="2"/>
  <c r="M474" i="2"/>
  <c r="L474" i="2"/>
  <c r="K474" i="2"/>
  <c r="I474" i="2"/>
  <c r="H474" i="2"/>
  <c r="G474" i="2"/>
  <c r="F474" i="2"/>
  <c r="E474" i="2"/>
  <c r="O473" i="2"/>
  <c r="N473" i="2"/>
  <c r="M473" i="2"/>
  <c r="L473" i="2"/>
  <c r="K473" i="2"/>
  <c r="I473" i="2"/>
  <c r="H473" i="2"/>
  <c r="G473" i="2"/>
  <c r="F473" i="2"/>
  <c r="E473" i="2"/>
  <c r="O472" i="2"/>
  <c r="N472" i="2"/>
  <c r="M472" i="2"/>
  <c r="L472" i="2"/>
  <c r="K472" i="2"/>
  <c r="I472" i="2"/>
  <c r="H472" i="2"/>
  <c r="G472" i="2"/>
  <c r="F472" i="2"/>
  <c r="E472" i="2"/>
  <c r="O471" i="2"/>
  <c r="N471" i="2"/>
  <c r="M471" i="2"/>
  <c r="L471" i="2"/>
  <c r="K471" i="2"/>
  <c r="I471" i="2"/>
  <c r="H471" i="2"/>
  <c r="G471" i="2"/>
  <c r="F471" i="2"/>
  <c r="E471" i="2"/>
  <c r="O470" i="2"/>
  <c r="N470" i="2"/>
  <c r="M470" i="2"/>
  <c r="L470" i="2"/>
  <c r="K470" i="2"/>
  <c r="I470" i="2"/>
  <c r="H470" i="2"/>
  <c r="G470" i="2"/>
  <c r="F470" i="2"/>
  <c r="E470" i="2"/>
  <c r="O469" i="2"/>
  <c r="N469" i="2"/>
  <c r="M469" i="2"/>
  <c r="L469" i="2"/>
  <c r="K469" i="2"/>
  <c r="I469" i="2"/>
  <c r="H469" i="2"/>
  <c r="G469" i="2"/>
  <c r="F469" i="2"/>
  <c r="E469" i="2"/>
  <c r="O468" i="2"/>
  <c r="N468" i="2"/>
  <c r="M468" i="2"/>
  <c r="L468" i="2"/>
  <c r="K468" i="2"/>
  <c r="I468" i="2"/>
  <c r="H468" i="2"/>
  <c r="G468" i="2"/>
  <c r="F468" i="2"/>
  <c r="E468" i="2"/>
  <c r="O467" i="2"/>
  <c r="N467" i="2"/>
  <c r="M467" i="2"/>
  <c r="L467" i="2"/>
  <c r="K467" i="2"/>
  <c r="I467" i="2"/>
  <c r="H467" i="2"/>
  <c r="G467" i="2"/>
  <c r="F467" i="2"/>
  <c r="E467" i="2"/>
  <c r="O466" i="2"/>
  <c r="N466" i="2"/>
  <c r="M466" i="2"/>
  <c r="L466" i="2"/>
  <c r="K466" i="2"/>
  <c r="I466" i="2"/>
  <c r="H466" i="2"/>
  <c r="G466" i="2"/>
  <c r="F466" i="2"/>
  <c r="E466" i="2"/>
  <c r="O465" i="2"/>
  <c r="N465" i="2"/>
  <c r="M465" i="2"/>
  <c r="L465" i="2"/>
  <c r="K465" i="2"/>
  <c r="I465" i="2"/>
  <c r="H465" i="2"/>
  <c r="G465" i="2"/>
  <c r="F465" i="2"/>
  <c r="E465" i="2"/>
  <c r="O464" i="2"/>
  <c r="N464" i="2"/>
  <c r="M464" i="2"/>
  <c r="L464" i="2"/>
  <c r="K464" i="2"/>
  <c r="I464" i="2"/>
  <c r="H464" i="2"/>
  <c r="G464" i="2"/>
  <c r="F464" i="2"/>
  <c r="E464" i="2"/>
  <c r="O463" i="2"/>
  <c r="N463" i="2"/>
  <c r="M463" i="2"/>
  <c r="L463" i="2"/>
  <c r="K463" i="2"/>
  <c r="I463" i="2"/>
  <c r="H463" i="2"/>
  <c r="G463" i="2"/>
  <c r="F463" i="2"/>
  <c r="E463" i="2"/>
  <c r="O462" i="2"/>
  <c r="N462" i="2"/>
  <c r="M462" i="2"/>
  <c r="L462" i="2"/>
  <c r="K462" i="2"/>
  <c r="I462" i="2"/>
  <c r="H462" i="2"/>
  <c r="G462" i="2"/>
  <c r="F462" i="2"/>
  <c r="E462" i="2"/>
  <c r="O461" i="2"/>
  <c r="N461" i="2"/>
  <c r="M461" i="2"/>
  <c r="L461" i="2"/>
  <c r="K461" i="2"/>
  <c r="I461" i="2"/>
  <c r="H461" i="2"/>
  <c r="G461" i="2"/>
  <c r="F461" i="2"/>
  <c r="E461" i="2"/>
  <c r="O460" i="2"/>
  <c r="N460" i="2"/>
  <c r="M460" i="2"/>
  <c r="L460" i="2"/>
  <c r="K460" i="2"/>
  <c r="I460" i="2"/>
  <c r="H460" i="2"/>
  <c r="G460" i="2"/>
  <c r="F460" i="2"/>
  <c r="E460" i="2"/>
  <c r="O459" i="2"/>
  <c r="N459" i="2"/>
  <c r="M459" i="2"/>
  <c r="L459" i="2"/>
  <c r="K459" i="2"/>
  <c r="I459" i="2"/>
  <c r="H459" i="2"/>
  <c r="G459" i="2"/>
  <c r="F459" i="2"/>
  <c r="E459" i="2"/>
  <c r="O458" i="2"/>
  <c r="N458" i="2"/>
  <c r="M458" i="2"/>
  <c r="L458" i="2"/>
  <c r="K458" i="2"/>
  <c r="I458" i="2"/>
  <c r="H458" i="2"/>
  <c r="G458" i="2"/>
  <c r="F458" i="2"/>
  <c r="E458" i="2"/>
  <c r="O457" i="2"/>
  <c r="N457" i="2"/>
  <c r="M457" i="2"/>
  <c r="L457" i="2"/>
  <c r="K457" i="2"/>
  <c r="I457" i="2"/>
  <c r="H457" i="2"/>
  <c r="G457" i="2"/>
  <c r="F457" i="2"/>
  <c r="E457" i="2"/>
  <c r="O456" i="2"/>
  <c r="N456" i="2"/>
  <c r="M456" i="2"/>
  <c r="L456" i="2"/>
  <c r="K456" i="2"/>
  <c r="I456" i="2"/>
  <c r="H456" i="2"/>
  <c r="G456" i="2"/>
  <c r="F456" i="2"/>
  <c r="E456" i="2"/>
  <c r="O455" i="2"/>
  <c r="N455" i="2"/>
  <c r="M455" i="2"/>
  <c r="L455" i="2"/>
  <c r="K455" i="2"/>
  <c r="I455" i="2"/>
  <c r="H455" i="2"/>
  <c r="G455" i="2"/>
  <c r="F455" i="2"/>
  <c r="E455" i="2"/>
  <c r="O454" i="2"/>
  <c r="N454" i="2"/>
  <c r="M454" i="2"/>
  <c r="L454" i="2"/>
  <c r="K454" i="2"/>
  <c r="I454" i="2"/>
  <c r="H454" i="2"/>
  <c r="G454" i="2"/>
  <c r="F454" i="2"/>
  <c r="E454" i="2"/>
  <c r="O453" i="2"/>
  <c r="N453" i="2"/>
  <c r="M453" i="2"/>
  <c r="L453" i="2"/>
  <c r="K453" i="2"/>
  <c r="I453" i="2"/>
  <c r="H453" i="2"/>
  <c r="G453" i="2"/>
  <c r="F453" i="2"/>
  <c r="E453" i="2"/>
  <c r="O452" i="2"/>
  <c r="N452" i="2"/>
  <c r="M452" i="2"/>
  <c r="L452" i="2"/>
  <c r="K452" i="2"/>
  <c r="I452" i="2"/>
  <c r="H452" i="2"/>
  <c r="G452" i="2"/>
  <c r="F452" i="2"/>
  <c r="E452" i="2"/>
  <c r="O451" i="2"/>
  <c r="N451" i="2"/>
  <c r="M451" i="2"/>
  <c r="L451" i="2"/>
  <c r="K451" i="2"/>
  <c r="I451" i="2"/>
  <c r="H451" i="2"/>
  <c r="G451" i="2"/>
  <c r="F451" i="2"/>
  <c r="E451" i="2"/>
  <c r="O450" i="2"/>
  <c r="N450" i="2"/>
  <c r="M450" i="2"/>
  <c r="L450" i="2"/>
  <c r="K450" i="2"/>
  <c r="I450" i="2"/>
  <c r="H450" i="2"/>
  <c r="G450" i="2"/>
  <c r="F450" i="2"/>
  <c r="E450" i="2"/>
  <c r="O449" i="2"/>
  <c r="N449" i="2"/>
  <c r="M449" i="2"/>
  <c r="L449" i="2"/>
  <c r="K449" i="2"/>
  <c r="I449" i="2"/>
  <c r="H449" i="2"/>
  <c r="G449" i="2"/>
  <c r="F449" i="2"/>
  <c r="E449" i="2"/>
  <c r="O448" i="2"/>
  <c r="N448" i="2"/>
  <c r="M448" i="2"/>
  <c r="L448" i="2"/>
  <c r="K448" i="2"/>
  <c r="I448" i="2"/>
  <c r="H448" i="2"/>
  <c r="G448" i="2"/>
  <c r="F448" i="2"/>
  <c r="E448" i="2"/>
  <c r="O447" i="2"/>
  <c r="N447" i="2"/>
  <c r="M447" i="2"/>
  <c r="L447" i="2"/>
  <c r="K447" i="2"/>
  <c r="I447" i="2"/>
  <c r="H447" i="2"/>
  <c r="G447" i="2"/>
  <c r="F447" i="2"/>
  <c r="E447" i="2"/>
  <c r="O446" i="2"/>
  <c r="N446" i="2"/>
  <c r="M446" i="2"/>
  <c r="L446" i="2"/>
  <c r="K446" i="2"/>
  <c r="I446" i="2"/>
  <c r="H446" i="2"/>
  <c r="G446" i="2"/>
  <c r="F446" i="2"/>
  <c r="E446" i="2"/>
  <c r="O445" i="2"/>
  <c r="N445" i="2"/>
  <c r="M445" i="2"/>
  <c r="L445" i="2"/>
  <c r="K445" i="2"/>
  <c r="I445" i="2"/>
  <c r="H445" i="2"/>
  <c r="G445" i="2"/>
  <c r="F445" i="2"/>
  <c r="E445" i="2"/>
  <c r="O444" i="2"/>
  <c r="N444" i="2"/>
  <c r="M444" i="2"/>
  <c r="L444" i="2"/>
  <c r="K444" i="2"/>
  <c r="I444" i="2"/>
  <c r="H444" i="2"/>
  <c r="G444" i="2"/>
  <c r="F444" i="2"/>
  <c r="E444" i="2"/>
  <c r="O443" i="2"/>
  <c r="N443" i="2"/>
  <c r="M443" i="2"/>
  <c r="L443" i="2"/>
  <c r="K443" i="2"/>
  <c r="I443" i="2"/>
  <c r="H443" i="2"/>
  <c r="G443" i="2"/>
  <c r="F443" i="2"/>
  <c r="E443" i="2"/>
  <c r="O442" i="2"/>
  <c r="N442" i="2"/>
  <c r="M442" i="2"/>
  <c r="L442" i="2"/>
  <c r="K442" i="2"/>
  <c r="I442" i="2"/>
  <c r="H442" i="2"/>
  <c r="G442" i="2"/>
  <c r="F442" i="2"/>
  <c r="E442" i="2"/>
  <c r="O441" i="2"/>
  <c r="N441" i="2"/>
  <c r="M441" i="2"/>
  <c r="L441" i="2"/>
  <c r="K441" i="2"/>
  <c r="I441" i="2"/>
  <c r="H441" i="2"/>
  <c r="G441" i="2"/>
  <c r="F441" i="2"/>
  <c r="E441" i="2"/>
  <c r="O440" i="2"/>
  <c r="N440" i="2"/>
  <c r="M440" i="2"/>
  <c r="L440" i="2"/>
  <c r="K440" i="2"/>
  <c r="I440" i="2"/>
  <c r="H440" i="2"/>
  <c r="G440" i="2"/>
  <c r="F440" i="2"/>
  <c r="E440" i="2"/>
  <c r="O439" i="2"/>
  <c r="N439" i="2"/>
  <c r="M439" i="2"/>
  <c r="L439" i="2"/>
  <c r="K439" i="2"/>
  <c r="I439" i="2"/>
  <c r="H439" i="2"/>
  <c r="G439" i="2"/>
  <c r="F439" i="2"/>
  <c r="E439" i="2"/>
  <c r="O438" i="2"/>
  <c r="N438" i="2"/>
  <c r="M438" i="2"/>
  <c r="L438" i="2"/>
  <c r="K438" i="2"/>
  <c r="I438" i="2"/>
  <c r="H438" i="2"/>
  <c r="G438" i="2"/>
  <c r="F438" i="2"/>
  <c r="E438" i="2"/>
  <c r="O437" i="2"/>
  <c r="N437" i="2"/>
  <c r="M437" i="2"/>
  <c r="L437" i="2"/>
  <c r="K437" i="2"/>
  <c r="I437" i="2"/>
  <c r="H437" i="2"/>
  <c r="G437" i="2"/>
  <c r="F437" i="2"/>
  <c r="E437" i="2"/>
  <c r="O436" i="2"/>
  <c r="N436" i="2"/>
  <c r="M436" i="2"/>
  <c r="L436" i="2"/>
  <c r="K436" i="2"/>
  <c r="I436" i="2"/>
  <c r="H436" i="2"/>
  <c r="G436" i="2"/>
  <c r="F436" i="2"/>
  <c r="E436" i="2"/>
  <c r="O435" i="2"/>
  <c r="N435" i="2"/>
  <c r="M435" i="2"/>
  <c r="L435" i="2"/>
  <c r="K435" i="2"/>
  <c r="I435" i="2"/>
  <c r="H435" i="2"/>
  <c r="G435" i="2"/>
  <c r="F435" i="2"/>
  <c r="E435" i="2"/>
  <c r="O434" i="2"/>
  <c r="N434" i="2"/>
  <c r="M434" i="2"/>
  <c r="L434" i="2"/>
  <c r="K434" i="2"/>
  <c r="I434" i="2"/>
  <c r="H434" i="2"/>
  <c r="G434" i="2"/>
  <c r="F434" i="2"/>
  <c r="E434" i="2"/>
  <c r="O433" i="2"/>
  <c r="N433" i="2"/>
  <c r="M433" i="2"/>
  <c r="L433" i="2"/>
  <c r="K433" i="2"/>
  <c r="I433" i="2"/>
  <c r="H433" i="2"/>
  <c r="G433" i="2"/>
  <c r="F433" i="2"/>
  <c r="E433" i="2"/>
  <c r="O432" i="2"/>
  <c r="N432" i="2"/>
  <c r="M432" i="2"/>
  <c r="L432" i="2"/>
  <c r="K432" i="2"/>
  <c r="I432" i="2"/>
  <c r="H432" i="2"/>
  <c r="G432" i="2"/>
  <c r="F432" i="2"/>
  <c r="E432" i="2"/>
  <c r="O431" i="2"/>
  <c r="N431" i="2"/>
  <c r="M431" i="2"/>
  <c r="L431" i="2"/>
  <c r="K431" i="2"/>
  <c r="I431" i="2"/>
  <c r="H431" i="2"/>
  <c r="G431" i="2"/>
  <c r="F431" i="2"/>
  <c r="E431" i="2"/>
  <c r="O430" i="2"/>
  <c r="N430" i="2"/>
  <c r="M430" i="2"/>
  <c r="L430" i="2"/>
  <c r="K430" i="2"/>
  <c r="I430" i="2"/>
  <c r="H430" i="2"/>
  <c r="G430" i="2"/>
  <c r="F430" i="2"/>
  <c r="E430" i="2"/>
  <c r="O429" i="2"/>
  <c r="N429" i="2"/>
  <c r="M429" i="2"/>
  <c r="L429" i="2"/>
  <c r="K429" i="2"/>
  <c r="I429" i="2"/>
  <c r="H429" i="2"/>
  <c r="G429" i="2"/>
  <c r="F429" i="2"/>
  <c r="E429" i="2"/>
  <c r="O428" i="2"/>
  <c r="N428" i="2"/>
  <c r="M428" i="2"/>
  <c r="L428" i="2"/>
  <c r="K428" i="2"/>
  <c r="I428" i="2"/>
  <c r="H428" i="2"/>
  <c r="G428" i="2"/>
  <c r="F428" i="2"/>
  <c r="E428" i="2"/>
  <c r="O427" i="2"/>
  <c r="N427" i="2"/>
  <c r="M427" i="2"/>
  <c r="L427" i="2"/>
  <c r="K427" i="2"/>
  <c r="I427" i="2"/>
  <c r="H427" i="2"/>
  <c r="G427" i="2"/>
  <c r="F427" i="2"/>
  <c r="E427" i="2"/>
  <c r="O426" i="2"/>
  <c r="N426" i="2"/>
  <c r="M426" i="2"/>
  <c r="L426" i="2"/>
  <c r="K426" i="2"/>
  <c r="I426" i="2"/>
  <c r="H426" i="2"/>
  <c r="G426" i="2"/>
  <c r="F426" i="2"/>
  <c r="E426" i="2"/>
  <c r="O425" i="2"/>
  <c r="N425" i="2"/>
  <c r="M425" i="2"/>
  <c r="L425" i="2"/>
  <c r="K425" i="2"/>
  <c r="I425" i="2"/>
  <c r="H425" i="2"/>
  <c r="G425" i="2"/>
  <c r="F425" i="2"/>
  <c r="E425" i="2"/>
  <c r="O424" i="2"/>
  <c r="N424" i="2"/>
  <c r="M424" i="2"/>
  <c r="L424" i="2"/>
  <c r="K424" i="2"/>
  <c r="I424" i="2"/>
  <c r="H424" i="2"/>
  <c r="G424" i="2"/>
  <c r="F424" i="2"/>
  <c r="E424" i="2"/>
  <c r="O423" i="2"/>
  <c r="N423" i="2"/>
  <c r="M423" i="2"/>
  <c r="L423" i="2"/>
  <c r="K423" i="2"/>
  <c r="I423" i="2"/>
  <c r="H423" i="2"/>
  <c r="G423" i="2"/>
  <c r="F423" i="2"/>
  <c r="E423" i="2"/>
  <c r="O422" i="2"/>
  <c r="N422" i="2"/>
  <c r="M422" i="2"/>
  <c r="L422" i="2"/>
  <c r="K422" i="2"/>
  <c r="I422" i="2"/>
  <c r="H422" i="2"/>
  <c r="G422" i="2"/>
  <c r="F422" i="2"/>
  <c r="E422" i="2"/>
  <c r="O421" i="2"/>
  <c r="N421" i="2"/>
  <c r="M421" i="2"/>
  <c r="L421" i="2"/>
  <c r="K421" i="2"/>
  <c r="I421" i="2"/>
  <c r="H421" i="2"/>
  <c r="G421" i="2"/>
  <c r="F421" i="2"/>
  <c r="E421" i="2"/>
  <c r="O420" i="2"/>
  <c r="N420" i="2"/>
  <c r="M420" i="2"/>
  <c r="L420" i="2"/>
  <c r="K420" i="2"/>
  <c r="I420" i="2"/>
  <c r="H420" i="2"/>
  <c r="G420" i="2"/>
  <c r="F420" i="2"/>
  <c r="E420" i="2"/>
  <c r="O419" i="2"/>
  <c r="N419" i="2"/>
  <c r="M419" i="2"/>
  <c r="L419" i="2"/>
  <c r="K419" i="2"/>
  <c r="I419" i="2"/>
  <c r="H419" i="2"/>
  <c r="G419" i="2"/>
  <c r="F419" i="2"/>
  <c r="E419" i="2"/>
  <c r="O418" i="2"/>
  <c r="N418" i="2"/>
  <c r="M418" i="2"/>
  <c r="L418" i="2"/>
  <c r="K418" i="2"/>
  <c r="I418" i="2"/>
  <c r="H418" i="2"/>
  <c r="G418" i="2"/>
  <c r="F418" i="2"/>
  <c r="E418" i="2"/>
  <c r="O417" i="2"/>
  <c r="N417" i="2"/>
  <c r="M417" i="2"/>
  <c r="L417" i="2"/>
  <c r="K417" i="2"/>
  <c r="I417" i="2"/>
  <c r="H417" i="2"/>
  <c r="G417" i="2"/>
  <c r="F417" i="2"/>
  <c r="E417" i="2"/>
  <c r="O416" i="2"/>
  <c r="N416" i="2"/>
  <c r="M416" i="2"/>
  <c r="L416" i="2"/>
  <c r="K416" i="2"/>
  <c r="I416" i="2"/>
  <c r="H416" i="2"/>
  <c r="G416" i="2"/>
  <c r="F416" i="2"/>
  <c r="E416" i="2"/>
  <c r="O415" i="2"/>
  <c r="N415" i="2"/>
  <c r="M415" i="2"/>
  <c r="L415" i="2"/>
  <c r="K415" i="2"/>
  <c r="I415" i="2"/>
  <c r="H415" i="2"/>
  <c r="G415" i="2"/>
  <c r="F415" i="2"/>
  <c r="E415" i="2"/>
  <c r="O414" i="2"/>
  <c r="N414" i="2"/>
  <c r="M414" i="2"/>
  <c r="L414" i="2"/>
  <c r="K414" i="2"/>
  <c r="I414" i="2"/>
  <c r="H414" i="2"/>
  <c r="G414" i="2"/>
  <c r="F414" i="2"/>
  <c r="E414" i="2"/>
  <c r="O413" i="2"/>
  <c r="N413" i="2"/>
  <c r="M413" i="2"/>
  <c r="L413" i="2"/>
  <c r="K413" i="2"/>
  <c r="I413" i="2"/>
  <c r="H413" i="2"/>
  <c r="G413" i="2"/>
  <c r="F413" i="2"/>
  <c r="E413" i="2"/>
  <c r="O412" i="2"/>
  <c r="N412" i="2"/>
  <c r="M412" i="2"/>
  <c r="L412" i="2"/>
  <c r="K412" i="2"/>
  <c r="I412" i="2"/>
  <c r="H412" i="2"/>
  <c r="G412" i="2"/>
  <c r="F412" i="2"/>
  <c r="E412" i="2"/>
  <c r="O411" i="2"/>
  <c r="N411" i="2"/>
  <c r="M411" i="2"/>
  <c r="L411" i="2"/>
  <c r="K411" i="2"/>
  <c r="I411" i="2"/>
  <c r="H411" i="2"/>
  <c r="G411" i="2"/>
  <c r="F411" i="2"/>
  <c r="E411" i="2"/>
  <c r="O410" i="2"/>
  <c r="N410" i="2"/>
  <c r="M410" i="2"/>
  <c r="L410" i="2"/>
  <c r="K410" i="2"/>
  <c r="I410" i="2"/>
  <c r="H410" i="2"/>
  <c r="G410" i="2"/>
  <c r="F410" i="2"/>
  <c r="E410" i="2"/>
  <c r="O409" i="2"/>
  <c r="N409" i="2"/>
  <c r="M409" i="2"/>
  <c r="L409" i="2"/>
  <c r="K409" i="2"/>
  <c r="I409" i="2"/>
  <c r="H409" i="2"/>
  <c r="G409" i="2"/>
  <c r="F409" i="2"/>
  <c r="E409" i="2"/>
  <c r="O408" i="2"/>
  <c r="N408" i="2"/>
  <c r="M408" i="2"/>
  <c r="L408" i="2"/>
  <c r="K408" i="2"/>
  <c r="I408" i="2"/>
  <c r="H408" i="2"/>
  <c r="G408" i="2"/>
  <c r="F408" i="2"/>
  <c r="E408" i="2"/>
  <c r="O407" i="2"/>
  <c r="N407" i="2"/>
  <c r="M407" i="2"/>
  <c r="L407" i="2"/>
  <c r="K407" i="2"/>
  <c r="I407" i="2"/>
  <c r="H407" i="2"/>
  <c r="G407" i="2"/>
  <c r="F407" i="2"/>
  <c r="E407" i="2"/>
  <c r="O406" i="2"/>
  <c r="N406" i="2"/>
  <c r="M406" i="2"/>
  <c r="L406" i="2"/>
  <c r="K406" i="2"/>
  <c r="I406" i="2"/>
  <c r="H406" i="2"/>
  <c r="G406" i="2"/>
  <c r="F406" i="2"/>
  <c r="E406" i="2"/>
  <c r="O405" i="2"/>
  <c r="N405" i="2"/>
  <c r="M405" i="2"/>
  <c r="L405" i="2"/>
  <c r="K405" i="2"/>
  <c r="I405" i="2"/>
  <c r="H405" i="2"/>
  <c r="G405" i="2"/>
  <c r="F405" i="2"/>
  <c r="E405" i="2"/>
  <c r="O404" i="2"/>
  <c r="N404" i="2"/>
  <c r="M404" i="2"/>
  <c r="L404" i="2"/>
  <c r="K404" i="2"/>
  <c r="I404" i="2"/>
  <c r="H404" i="2"/>
  <c r="G404" i="2"/>
  <c r="F404" i="2"/>
  <c r="E404" i="2"/>
  <c r="O403" i="2"/>
  <c r="N403" i="2"/>
  <c r="M403" i="2"/>
  <c r="L403" i="2"/>
  <c r="K403" i="2"/>
  <c r="I403" i="2"/>
  <c r="H403" i="2"/>
  <c r="G403" i="2"/>
  <c r="F403" i="2"/>
  <c r="E403" i="2"/>
  <c r="O402" i="2"/>
  <c r="N402" i="2"/>
  <c r="M402" i="2"/>
  <c r="L402" i="2"/>
  <c r="K402" i="2"/>
  <c r="I402" i="2"/>
  <c r="H402" i="2"/>
  <c r="G402" i="2"/>
  <c r="F402" i="2"/>
  <c r="E402" i="2"/>
  <c r="O401" i="2"/>
  <c r="N401" i="2"/>
  <c r="M401" i="2"/>
  <c r="L401" i="2"/>
  <c r="K401" i="2"/>
  <c r="I401" i="2"/>
  <c r="H401" i="2"/>
  <c r="G401" i="2"/>
  <c r="F401" i="2"/>
  <c r="E401" i="2"/>
  <c r="O400" i="2"/>
  <c r="N400" i="2"/>
  <c r="M400" i="2"/>
  <c r="L400" i="2"/>
  <c r="K400" i="2"/>
  <c r="I400" i="2"/>
  <c r="H400" i="2"/>
  <c r="G400" i="2"/>
  <c r="F400" i="2"/>
  <c r="E400" i="2"/>
  <c r="O399" i="2"/>
  <c r="N399" i="2"/>
  <c r="M399" i="2"/>
  <c r="L399" i="2"/>
  <c r="K399" i="2"/>
  <c r="I399" i="2"/>
  <c r="H399" i="2"/>
  <c r="G399" i="2"/>
  <c r="F399" i="2"/>
  <c r="E399" i="2"/>
  <c r="O398" i="2"/>
  <c r="N398" i="2"/>
  <c r="M398" i="2"/>
  <c r="L398" i="2"/>
  <c r="K398" i="2"/>
  <c r="I398" i="2"/>
  <c r="H398" i="2"/>
  <c r="G398" i="2"/>
  <c r="F398" i="2"/>
  <c r="E398" i="2"/>
  <c r="O397" i="2"/>
  <c r="N397" i="2"/>
  <c r="M397" i="2"/>
  <c r="L397" i="2"/>
  <c r="K397" i="2"/>
  <c r="I397" i="2"/>
  <c r="H397" i="2"/>
  <c r="G397" i="2"/>
  <c r="F397" i="2"/>
  <c r="E397" i="2"/>
  <c r="O396" i="2"/>
  <c r="N396" i="2"/>
  <c r="M396" i="2"/>
  <c r="L396" i="2"/>
  <c r="K396" i="2"/>
  <c r="I396" i="2"/>
  <c r="H396" i="2"/>
  <c r="G396" i="2"/>
  <c r="F396" i="2"/>
  <c r="E396" i="2"/>
  <c r="O395" i="2"/>
  <c r="N395" i="2"/>
  <c r="M395" i="2"/>
  <c r="L395" i="2"/>
  <c r="K395" i="2"/>
  <c r="I395" i="2"/>
  <c r="H395" i="2"/>
  <c r="G395" i="2"/>
  <c r="F395" i="2"/>
  <c r="E395" i="2"/>
  <c r="O394" i="2"/>
  <c r="N394" i="2"/>
  <c r="M394" i="2"/>
  <c r="L394" i="2"/>
  <c r="K394" i="2"/>
  <c r="I394" i="2"/>
  <c r="H394" i="2"/>
  <c r="G394" i="2"/>
  <c r="F394" i="2"/>
  <c r="E394" i="2"/>
  <c r="O393" i="2"/>
  <c r="N393" i="2"/>
  <c r="M393" i="2"/>
  <c r="L393" i="2"/>
  <c r="K393" i="2"/>
  <c r="I393" i="2"/>
  <c r="H393" i="2"/>
  <c r="G393" i="2"/>
  <c r="F393" i="2"/>
  <c r="E393" i="2"/>
  <c r="O392" i="2"/>
  <c r="N392" i="2"/>
  <c r="M392" i="2"/>
  <c r="L392" i="2"/>
  <c r="K392" i="2"/>
  <c r="I392" i="2"/>
  <c r="H392" i="2"/>
  <c r="G392" i="2"/>
  <c r="F392" i="2"/>
  <c r="E392" i="2"/>
  <c r="O391" i="2"/>
  <c r="N391" i="2"/>
  <c r="M391" i="2"/>
  <c r="L391" i="2"/>
  <c r="K391" i="2"/>
  <c r="I391" i="2"/>
  <c r="H391" i="2"/>
  <c r="G391" i="2"/>
  <c r="F391" i="2"/>
  <c r="E391" i="2"/>
  <c r="O390" i="2"/>
  <c r="N390" i="2"/>
  <c r="M390" i="2"/>
  <c r="L390" i="2"/>
  <c r="K390" i="2"/>
  <c r="I390" i="2"/>
  <c r="H390" i="2"/>
  <c r="G390" i="2"/>
  <c r="F390" i="2"/>
  <c r="E390" i="2"/>
  <c r="O389" i="2"/>
  <c r="N389" i="2"/>
  <c r="M389" i="2"/>
  <c r="L389" i="2"/>
  <c r="K389" i="2"/>
  <c r="I389" i="2"/>
  <c r="H389" i="2"/>
  <c r="G389" i="2"/>
  <c r="F389" i="2"/>
  <c r="E389" i="2"/>
  <c r="O388" i="2"/>
  <c r="N388" i="2"/>
  <c r="M388" i="2"/>
  <c r="L388" i="2"/>
  <c r="K388" i="2"/>
  <c r="I388" i="2"/>
  <c r="H388" i="2"/>
  <c r="G388" i="2"/>
  <c r="F388" i="2"/>
  <c r="E388" i="2"/>
  <c r="O387" i="2"/>
  <c r="N387" i="2"/>
  <c r="M387" i="2"/>
  <c r="L387" i="2"/>
  <c r="K387" i="2"/>
  <c r="I387" i="2"/>
  <c r="H387" i="2"/>
  <c r="G387" i="2"/>
  <c r="F387" i="2"/>
  <c r="E387" i="2"/>
  <c r="O386" i="2"/>
  <c r="N386" i="2"/>
  <c r="M386" i="2"/>
  <c r="L386" i="2"/>
  <c r="K386" i="2"/>
  <c r="I386" i="2"/>
  <c r="H386" i="2"/>
  <c r="G386" i="2"/>
  <c r="F386" i="2"/>
  <c r="E386" i="2"/>
  <c r="O385" i="2"/>
  <c r="N385" i="2"/>
  <c r="M385" i="2"/>
  <c r="L385" i="2"/>
  <c r="K385" i="2"/>
  <c r="I385" i="2"/>
  <c r="H385" i="2"/>
  <c r="G385" i="2"/>
  <c r="F385" i="2"/>
  <c r="E385" i="2"/>
  <c r="O384" i="2"/>
  <c r="N384" i="2"/>
  <c r="M384" i="2"/>
  <c r="L384" i="2"/>
  <c r="K384" i="2"/>
  <c r="I384" i="2"/>
  <c r="H384" i="2"/>
  <c r="G384" i="2"/>
  <c r="F384" i="2"/>
  <c r="E384" i="2"/>
  <c r="O383" i="2"/>
  <c r="N383" i="2"/>
  <c r="M383" i="2"/>
  <c r="L383" i="2"/>
  <c r="K383" i="2"/>
  <c r="I383" i="2"/>
  <c r="H383" i="2"/>
  <c r="G383" i="2"/>
  <c r="F383" i="2"/>
  <c r="E383" i="2"/>
  <c r="O382" i="2"/>
  <c r="N382" i="2"/>
  <c r="M382" i="2"/>
  <c r="L382" i="2"/>
  <c r="K382" i="2"/>
  <c r="I382" i="2"/>
  <c r="H382" i="2"/>
  <c r="G382" i="2"/>
  <c r="F382" i="2"/>
  <c r="E382" i="2"/>
  <c r="O381" i="2"/>
  <c r="N381" i="2"/>
  <c r="M381" i="2"/>
  <c r="L381" i="2"/>
  <c r="K381" i="2"/>
  <c r="I381" i="2"/>
  <c r="H381" i="2"/>
  <c r="G381" i="2"/>
  <c r="F381" i="2"/>
  <c r="E381" i="2"/>
  <c r="O380" i="2"/>
  <c r="N380" i="2"/>
  <c r="M380" i="2"/>
  <c r="L380" i="2"/>
  <c r="K380" i="2"/>
  <c r="I380" i="2"/>
  <c r="H380" i="2"/>
  <c r="G380" i="2"/>
  <c r="F380" i="2"/>
  <c r="E380" i="2"/>
  <c r="O379" i="2"/>
  <c r="N379" i="2"/>
  <c r="M379" i="2"/>
  <c r="L379" i="2"/>
  <c r="K379" i="2"/>
  <c r="I379" i="2"/>
  <c r="H379" i="2"/>
  <c r="G379" i="2"/>
  <c r="F379" i="2"/>
  <c r="E379" i="2"/>
  <c r="O378" i="2"/>
  <c r="N378" i="2"/>
  <c r="M378" i="2"/>
  <c r="L378" i="2"/>
  <c r="K378" i="2"/>
  <c r="I378" i="2"/>
  <c r="H378" i="2"/>
  <c r="G378" i="2"/>
  <c r="F378" i="2"/>
  <c r="E378" i="2"/>
  <c r="O377" i="2"/>
  <c r="N377" i="2"/>
  <c r="M377" i="2"/>
  <c r="L377" i="2"/>
  <c r="K377" i="2"/>
  <c r="I377" i="2"/>
  <c r="H377" i="2"/>
  <c r="G377" i="2"/>
  <c r="F377" i="2"/>
  <c r="E377" i="2"/>
  <c r="O376" i="2"/>
  <c r="N376" i="2"/>
  <c r="M376" i="2"/>
  <c r="L376" i="2"/>
  <c r="K376" i="2"/>
  <c r="I376" i="2"/>
  <c r="H376" i="2"/>
  <c r="G376" i="2"/>
  <c r="F376" i="2"/>
  <c r="E376" i="2"/>
  <c r="O375" i="2"/>
  <c r="N375" i="2"/>
  <c r="M375" i="2"/>
  <c r="L375" i="2"/>
  <c r="K375" i="2"/>
  <c r="I375" i="2"/>
  <c r="H375" i="2"/>
  <c r="G375" i="2"/>
  <c r="F375" i="2"/>
  <c r="E375" i="2"/>
  <c r="O374" i="2"/>
  <c r="N374" i="2"/>
  <c r="M374" i="2"/>
  <c r="L374" i="2"/>
  <c r="K374" i="2"/>
  <c r="I374" i="2"/>
  <c r="H374" i="2"/>
  <c r="G374" i="2"/>
  <c r="F374" i="2"/>
  <c r="E374" i="2"/>
  <c r="O373" i="2"/>
  <c r="N373" i="2"/>
  <c r="M373" i="2"/>
  <c r="L373" i="2"/>
  <c r="K373" i="2"/>
  <c r="I373" i="2"/>
  <c r="H373" i="2"/>
  <c r="G373" i="2"/>
  <c r="F373" i="2"/>
  <c r="E373" i="2"/>
  <c r="O372" i="2"/>
  <c r="N372" i="2"/>
  <c r="M372" i="2"/>
  <c r="L372" i="2"/>
  <c r="K372" i="2"/>
  <c r="I372" i="2"/>
  <c r="H372" i="2"/>
  <c r="G372" i="2"/>
  <c r="F372" i="2"/>
  <c r="E372" i="2"/>
  <c r="O371" i="2"/>
  <c r="N371" i="2"/>
  <c r="M371" i="2"/>
  <c r="L371" i="2"/>
  <c r="K371" i="2"/>
  <c r="I371" i="2"/>
  <c r="H371" i="2"/>
  <c r="G371" i="2"/>
  <c r="F371" i="2"/>
  <c r="E371" i="2"/>
  <c r="O370" i="2"/>
  <c r="N370" i="2"/>
  <c r="M370" i="2"/>
  <c r="L370" i="2"/>
  <c r="K370" i="2"/>
  <c r="I370" i="2"/>
  <c r="H370" i="2"/>
  <c r="G370" i="2"/>
  <c r="F370" i="2"/>
  <c r="E370" i="2"/>
  <c r="O369" i="2"/>
  <c r="N369" i="2"/>
  <c r="M369" i="2"/>
  <c r="L369" i="2"/>
  <c r="K369" i="2"/>
  <c r="I369" i="2"/>
  <c r="H369" i="2"/>
  <c r="G369" i="2"/>
  <c r="F369" i="2"/>
  <c r="E369" i="2"/>
  <c r="O368" i="2"/>
  <c r="N368" i="2"/>
  <c r="M368" i="2"/>
  <c r="L368" i="2"/>
  <c r="K368" i="2"/>
  <c r="I368" i="2"/>
  <c r="H368" i="2"/>
  <c r="G368" i="2"/>
  <c r="F368" i="2"/>
  <c r="E368" i="2"/>
  <c r="O367" i="2"/>
  <c r="N367" i="2"/>
  <c r="M367" i="2"/>
  <c r="L367" i="2"/>
  <c r="K367" i="2"/>
  <c r="I367" i="2"/>
  <c r="H367" i="2"/>
  <c r="G367" i="2"/>
  <c r="F367" i="2"/>
  <c r="E367" i="2"/>
  <c r="O366" i="2"/>
  <c r="N366" i="2"/>
  <c r="M366" i="2"/>
  <c r="L366" i="2"/>
  <c r="K366" i="2"/>
  <c r="I366" i="2"/>
  <c r="H366" i="2"/>
  <c r="G366" i="2"/>
  <c r="F366" i="2"/>
  <c r="E366" i="2"/>
  <c r="O365" i="2"/>
  <c r="N365" i="2"/>
  <c r="M365" i="2"/>
  <c r="L365" i="2"/>
  <c r="K365" i="2"/>
  <c r="I365" i="2"/>
  <c r="H365" i="2"/>
  <c r="G365" i="2"/>
  <c r="F365" i="2"/>
  <c r="E365" i="2"/>
  <c r="O364" i="2"/>
  <c r="N364" i="2"/>
  <c r="M364" i="2"/>
  <c r="L364" i="2"/>
  <c r="K364" i="2"/>
  <c r="I364" i="2"/>
  <c r="H364" i="2"/>
  <c r="G364" i="2"/>
  <c r="F364" i="2"/>
  <c r="E364" i="2"/>
  <c r="O363" i="2"/>
  <c r="N363" i="2"/>
  <c r="M363" i="2"/>
  <c r="L363" i="2"/>
  <c r="K363" i="2"/>
  <c r="I363" i="2"/>
  <c r="H363" i="2"/>
  <c r="G363" i="2"/>
  <c r="F363" i="2"/>
  <c r="E363" i="2"/>
  <c r="O362" i="2"/>
  <c r="N362" i="2"/>
  <c r="M362" i="2"/>
  <c r="L362" i="2"/>
  <c r="K362" i="2"/>
  <c r="I362" i="2"/>
  <c r="H362" i="2"/>
  <c r="G362" i="2"/>
  <c r="F362" i="2"/>
  <c r="E362" i="2"/>
  <c r="O361" i="2"/>
  <c r="N361" i="2"/>
  <c r="M361" i="2"/>
  <c r="L361" i="2"/>
  <c r="K361" i="2"/>
  <c r="I361" i="2"/>
  <c r="H361" i="2"/>
  <c r="G361" i="2"/>
  <c r="F361" i="2"/>
  <c r="E361" i="2"/>
  <c r="O360" i="2"/>
  <c r="N360" i="2"/>
  <c r="M360" i="2"/>
  <c r="L360" i="2"/>
  <c r="K360" i="2"/>
  <c r="I360" i="2"/>
  <c r="H360" i="2"/>
  <c r="G360" i="2"/>
  <c r="F360" i="2"/>
  <c r="E360" i="2"/>
  <c r="O359" i="2"/>
  <c r="N359" i="2"/>
  <c r="M359" i="2"/>
  <c r="L359" i="2"/>
  <c r="K359" i="2"/>
  <c r="I359" i="2"/>
  <c r="H359" i="2"/>
  <c r="G359" i="2"/>
  <c r="F359" i="2"/>
  <c r="E359" i="2"/>
  <c r="O358" i="2"/>
  <c r="N358" i="2"/>
  <c r="M358" i="2"/>
  <c r="L358" i="2"/>
  <c r="K358" i="2"/>
  <c r="I358" i="2"/>
  <c r="H358" i="2"/>
  <c r="G358" i="2"/>
  <c r="F358" i="2"/>
  <c r="E358" i="2"/>
  <c r="O357" i="2"/>
  <c r="N357" i="2"/>
  <c r="M357" i="2"/>
  <c r="L357" i="2"/>
  <c r="K357" i="2"/>
  <c r="I357" i="2"/>
  <c r="H357" i="2"/>
  <c r="G357" i="2"/>
  <c r="F357" i="2"/>
  <c r="E357" i="2"/>
  <c r="O356" i="2"/>
  <c r="N356" i="2"/>
  <c r="M356" i="2"/>
  <c r="L356" i="2"/>
  <c r="K356" i="2"/>
  <c r="I356" i="2"/>
  <c r="H356" i="2"/>
  <c r="G356" i="2"/>
  <c r="F356" i="2"/>
  <c r="E356" i="2"/>
  <c r="O355" i="2"/>
  <c r="N355" i="2"/>
  <c r="M355" i="2"/>
  <c r="L355" i="2"/>
  <c r="K355" i="2"/>
  <c r="I355" i="2"/>
  <c r="H355" i="2"/>
  <c r="G355" i="2"/>
  <c r="F355" i="2"/>
  <c r="E355" i="2"/>
  <c r="O354" i="2"/>
  <c r="N354" i="2"/>
  <c r="M354" i="2"/>
  <c r="L354" i="2"/>
  <c r="K354" i="2"/>
  <c r="I354" i="2"/>
  <c r="H354" i="2"/>
  <c r="G354" i="2"/>
  <c r="F354" i="2"/>
  <c r="E354" i="2"/>
  <c r="O353" i="2"/>
  <c r="N353" i="2"/>
  <c r="M353" i="2"/>
  <c r="L353" i="2"/>
  <c r="K353" i="2"/>
  <c r="I353" i="2"/>
  <c r="H353" i="2"/>
  <c r="G353" i="2"/>
  <c r="F353" i="2"/>
  <c r="E353" i="2"/>
  <c r="O352" i="2"/>
  <c r="N352" i="2"/>
  <c r="M352" i="2"/>
  <c r="L352" i="2"/>
  <c r="K352" i="2"/>
  <c r="I352" i="2"/>
  <c r="H352" i="2"/>
  <c r="G352" i="2"/>
  <c r="F352" i="2"/>
  <c r="E352" i="2"/>
  <c r="O351" i="2"/>
  <c r="N351" i="2"/>
  <c r="M351" i="2"/>
  <c r="L351" i="2"/>
  <c r="K351" i="2"/>
  <c r="I351" i="2"/>
  <c r="H351" i="2"/>
  <c r="G351" i="2"/>
  <c r="F351" i="2"/>
  <c r="E351" i="2"/>
  <c r="O350" i="2"/>
  <c r="N350" i="2"/>
  <c r="M350" i="2"/>
  <c r="L350" i="2"/>
  <c r="K350" i="2"/>
  <c r="I350" i="2"/>
  <c r="H350" i="2"/>
  <c r="G350" i="2"/>
  <c r="F350" i="2"/>
  <c r="E350" i="2"/>
  <c r="O349" i="2"/>
  <c r="N349" i="2"/>
  <c r="M349" i="2"/>
  <c r="L349" i="2"/>
  <c r="K349" i="2"/>
  <c r="I349" i="2"/>
  <c r="H349" i="2"/>
  <c r="G349" i="2"/>
  <c r="F349" i="2"/>
  <c r="E349" i="2"/>
  <c r="O348" i="2"/>
  <c r="N348" i="2"/>
  <c r="M348" i="2"/>
  <c r="L348" i="2"/>
  <c r="K348" i="2"/>
  <c r="I348" i="2"/>
  <c r="H348" i="2"/>
  <c r="G348" i="2"/>
  <c r="F348" i="2"/>
  <c r="E348" i="2"/>
  <c r="O347" i="2"/>
  <c r="N347" i="2"/>
  <c r="M347" i="2"/>
  <c r="L347" i="2"/>
  <c r="K347" i="2"/>
  <c r="I347" i="2"/>
  <c r="H347" i="2"/>
  <c r="G347" i="2"/>
  <c r="F347" i="2"/>
  <c r="E347" i="2"/>
  <c r="O346" i="2"/>
  <c r="N346" i="2"/>
  <c r="M346" i="2"/>
  <c r="L346" i="2"/>
  <c r="K346" i="2"/>
  <c r="I346" i="2"/>
  <c r="H346" i="2"/>
  <c r="G346" i="2"/>
  <c r="F346" i="2"/>
  <c r="E346" i="2"/>
  <c r="O345" i="2"/>
  <c r="N345" i="2"/>
  <c r="M345" i="2"/>
  <c r="L345" i="2"/>
  <c r="K345" i="2"/>
  <c r="I345" i="2"/>
  <c r="H345" i="2"/>
  <c r="G345" i="2"/>
  <c r="F345" i="2"/>
  <c r="E345" i="2"/>
  <c r="O344" i="2"/>
  <c r="N344" i="2"/>
  <c r="M344" i="2"/>
  <c r="L344" i="2"/>
  <c r="K344" i="2"/>
  <c r="I344" i="2"/>
  <c r="H344" i="2"/>
  <c r="G344" i="2"/>
  <c r="F344" i="2"/>
  <c r="E344" i="2"/>
  <c r="O343" i="2"/>
  <c r="N343" i="2"/>
  <c r="M343" i="2"/>
  <c r="L343" i="2"/>
  <c r="K343" i="2"/>
  <c r="I343" i="2"/>
  <c r="H343" i="2"/>
  <c r="G343" i="2"/>
  <c r="F343" i="2"/>
  <c r="E343" i="2"/>
  <c r="O342" i="2"/>
  <c r="N342" i="2"/>
  <c r="M342" i="2"/>
  <c r="L342" i="2"/>
  <c r="K342" i="2"/>
  <c r="I342" i="2"/>
  <c r="H342" i="2"/>
  <c r="G342" i="2"/>
  <c r="F342" i="2"/>
  <c r="E342" i="2"/>
  <c r="O341" i="2"/>
  <c r="N341" i="2"/>
  <c r="M341" i="2"/>
  <c r="L341" i="2"/>
  <c r="K341" i="2"/>
  <c r="I341" i="2"/>
  <c r="H341" i="2"/>
  <c r="G341" i="2"/>
  <c r="F341" i="2"/>
  <c r="E341" i="2"/>
  <c r="O340" i="2"/>
  <c r="N340" i="2"/>
  <c r="M340" i="2"/>
  <c r="L340" i="2"/>
  <c r="K340" i="2"/>
  <c r="I340" i="2"/>
  <c r="H340" i="2"/>
  <c r="G340" i="2"/>
  <c r="F340" i="2"/>
  <c r="E340" i="2"/>
  <c r="O339" i="2"/>
  <c r="N339" i="2"/>
  <c r="M339" i="2"/>
  <c r="L339" i="2"/>
  <c r="K339" i="2"/>
  <c r="I339" i="2"/>
  <c r="H339" i="2"/>
  <c r="G339" i="2"/>
  <c r="F339" i="2"/>
  <c r="E339" i="2"/>
  <c r="O338" i="2"/>
  <c r="N338" i="2"/>
  <c r="M338" i="2"/>
  <c r="L338" i="2"/>
  <c r="K338" i="2"/>
  <c r="I338" i="2"/>
  <c r="H338" i="2"/>
  <c r="G338" i="2"/>
  <c r="F338" i="2"/>
  <c r="E338" i="2"/>
  <c r="O337" i="2"/>
  <c r="N337" i="2"/>
  <c r="M337" i="2"/>
  <c r="L337" i="2"/>
  <c r="K337" i="2"/>
  <c r="I337" i="2"/>
  <c r="H337" i="2"/>
  <c r="G337" i="2"/>
  <c r="F337" i="2"/>
  <c r="E337" i="2"/>
  <c r="O336" i="2"/>
  <c r="N336" i="2"/>
  <c r="M336" i="2"/>
  <c r="L336" i="2"/>
  <c r="K336" i="2"/>
  <c r="I336" i="2"/>
  <c r="H336" i="2"/>
  <c r="G336" i="2"/>
  <c r="F336" i="2"/>
  <c r="E336" i="2"/>
  <c r="O335" i="2"/>
  <c r="N335" i="2"/>
  <c r="M335" i="2"/>
  <c r="L335" i="2"/>
  <c r="K335" i="2"/>
  <c r="I335" i="2"/>
  <c r="H335" i="2"/>
  <c r="G335" i="2"/>
  <c r="F335" i="2"/>
  <c r="E335" i="2"/>
  <c r="O334" i="2"/>
  <c r="N334" i="2"/>
  <c r="M334" i="2"/>
  <c r="L334" i="2"/>
  <c r="K334" i="2"/>
  <c r="I334" i="2"/>
  <c r="H334" i="2"/>
  <c r="G334" i="2"/>
  <c r="F334" i="2"/>
  <c r="E334" i="2"/>
  <c r="O333" i="2"/>
  <c r="N333" i="2"/>
  <c r="M333" i="2"/>
  <c r="L333" i="2"/>
  <c r="K333" i="2"/>
  <c r="I333" i="2"/>
  <c r="H333" i="2"/>
  <c r="G333" i="2"/>
  <c r="F333" i="2"/>
  <c r="E333" i="2"/>
  <c r="O332" i="2"/>
  <c r="N332" i="2"/>
  <c r="M332" i="2"/>
  <c r="L332" i="2"/>
  <c r="K332" i="2"/>
  <c r="I332" i="2"/>
  <c r="H332" i="2"/>
  <c r="G332" i="2"/>
  <c r="F332" i="2"/>
  <c r="E332" i="2"/>
  <c r="O331" i="2"/>
  <c r="N331" i="2"/>
  <c r="M331" i="2"/>
  <c r="L331" i="2"/>
  <c r="K331" i="2"/>
  <c r="I331" i="2"/>
  <c r="H331" i="2"/>
  <c r="G331" i="2"/>
  <c r="F331" i="2"/>
  <c r="E331" i="2"/>
  <c r="O330" i="2"/>
  <c r="N330" i="2"/>
  <c r="M330" i="2"/>
  <c r="L330" i="2"/>
  <c r="K330" i="2"/>
  <c r="I330" i="2"/>
  <c r="H330" i="2"/>
  <c r="G330" i="2"/>
  <c r="F330" i="2"/>
  <c r="E330" i="2"/>
  <c r="O329" i="2"/>
  <c r="N329" i="2"/>
  <c r="M329" i="2"/>
  <c r="L329" i="2"/>
  <c r="K329" i="2"/>
  <c r="I329" i="2"/>
  <c r="H329" i="2"/>
  <c r="G329" i="2"/>
  <c r="F329" i="2"/>
  <c r="E329" i="2"/>
  <c r="O328" i="2"/>
  <c r="N328" i="2"/>
  <c r="M328" i="2"/>
  <c r="L328" i="2"/>
  <c r="K328" i="2"/>
  <c r="I328" i="2"/>
  <c r="H328" i="2"/>
  <c r="G328" i="2"/>
  <c r="F328" i="2"/>
  <c r="E328" i="2"/>
  <c r="O327" i="2"/>
  <c r="N327" i="2"/>
  <c r="M327" i="2"/>
  <c r="L327" i="2"/>
  <c r="K327" i="2"/>
  <c r="I327" i="2"/>
  <c r="H327" i="2"/>
  <c r="G327" i="2"/>
  <c r="F327" i="2"/>
  <c r="E327" i="2"/>
  <c r="O326" i="2"/>
  <c r="N326" i="2"/>
  <c r="M326" i="2"/>
  <c r="L326" i="2"/>
  <c r="K326" i="2"/>
  <c r="I326" i="2"/>
  <c r="H326" i="2"/>
  <c r="G326" i="2"/>
  <c r="F326" i="2"/>
  <c r="E326" i="2"/>
  <c r="O325" i="2"/>
  <c r="N325" i="2"/>
  <c r="M325" i="2"/>
  <c r="L325" i="2"/>
  <c r="K325" i="2"/>
  <c r="I325" i="2"/>
  <c r="H325" i="2"/>
  <c r="G325" i="2"/>
  <c r="F325" i="2"/>
  <c r="E325" i="2"/>
  <c r="O324" i="2"/>
  <c r="N324" i="2"/>
  <c r="M324" i="2"/>
  <c r="L324" i="2"/>
  <c r="K324" i="2"/>
  <c r="I324" i="2"/>
  <c r="H324" i="2"/>
  <c r="G324" i="2"/>
  <c r="F324" i="2"/>
  <c r="E324" i="2"/>
  <c r="O323" i="2"/>
  <c r="N323" i="2"/>
  <c r="M323" i="2"/>
  <c r="L323" i="2"/>
  <c r="K323" i="2"/>
  <c r="I323" i="2"/>
  <c r="H323" i="2"/>
  <c r="G323" i="2"/>
  <c r="F323" i="2"/>
  <c r="E323" i="2"/>
  <c r="O322" i="2"/>
  <c r="N322" i="2"/>
  <c r="M322" i="2"/>
  <c r="L322" i="2"/>
  <c r="K322" i="2"/>
  <c r="I322" i="2"/>
  <c r="H322" i="2"/>
  <c r="G322" i="2"/>
  <c r="F322" i="2"/>
  <c r="E322" i="2"/>
  <c r="O321" i="2"/>
  <c r="N321" i="2"/>
  <c r="M321" i="2"/>
  <c r="L321" i="2"/>
  <c r="K321" i="2"/>
  <c r="I321" i="2"/>
  <c r="H321" i="2"/>
  <c r="G321" i="2"/>
  <c r="F321" i="2"/>
  <c r="E321" i="2"/>
  <c r="O320" i="2"/>
  <c r="N320" i="2"/>
  <c r="M320" i="2"/>
  <c r="L320" i="2"/>
  <c r="K320" i="2"/>
  <c r="I320" i="2"/>
  <c r="H320" i="2"/>
  <c r="G320" i="2"/>
  <c r="F320" i="2"/>
  <c r="E320" i="2"/>
  <c r="O319" i="2"/>
  <c r="N319" i="2"/>
  <c r="M319" i="2"/>
  <c r="L319" i="2"/>
  <c r="K319" i="2"/>
  <c r="I319" i="2"/>
  <c r="H319" i="2"/>
  <c r="G319" i="2"/>
  <c r="F319" i="2"/>
  <c r="E319" i="2"/>
  <c r="O318" i="2"/>
  <c r="N318" i="2"/>
  <c r="M318" i="2"/>
  <c r="L318" i="2"/>
  <c r="K318" i="2"/>
  <c r="I318" i="2"/>
  <c r="H318" i="2"/>
  <c r="G318" i="2"/>
  <c r="F318" i="2"/>
  <c r="E318" i="2"/>
  <c r="O317" i="2"/>
  <c r="N317" i="2"/>
  <c r="M317" i="2"/>
  <c r="L317" i="2"/>
  <c r="K317" i="2"/>
  <c r="I317" i="2"/>
  <c r="H317" i="2"/>
  <c r="G317" i="2"/>
  <c r="F317" i="2"/>
  <c r="E317" i="2"/>
  <c r="O316" i="2"/>
  <c r="N316" i="2"/>
  <c r="M316" i="2"/>
  <c r="L316" i="2"/>
  <c r="K316" i="2"/>
  <c r="I316" i="2"/>
  <c r="H316" i="2"/>
  <c r="G316" i="2"/>
  <c r="F316" i="2"/>
  <c r="E316" i="2"/>
  <c r="O315" i="2"/>
  <c r="N315" i="2"/>
  <c r="M315" i="2"/>
  <c r="L315" i="2"/>
  <c r="K315" i="2"/>
  <c r="I315" i="2"/>
  <c r="H315" i="2"/>
  <c r="G315" i="2"/>
  <c r="F315" i="2"/>
  <c r="E315" i="2"/>
  <c r="O314" i="2"/>
  <c r="N314" i="2"/>
  <c r="M314" i="2"/>
  <c r="L314" i="2"/>
  <c r="K314" i="2"/>
  <c r="I314" i="2"/>
  <c r="H314" i="2"/>
  <c r="G314" i="2"/>
  <c r="F314" i="2"/>
  <c r="E314" i="2"/>
  <c r="O313" i="2"/>
  <c r="N313" i="2"/>
  <c r="M313" i="2"/>
  <c r="L313" i="2"/>
  <c r="K313" i="2"/>
  <c r="I313" i="2"/>
  <c r="H313" i="2"/>
  <c r="G313" i="2"/>
  <c r="F313" i="2"/>
  <c r="E313" i="2"/>
  <c r="O312" i="2"/>
  <c r="N312" i="2"/>
  <c r="M312" i="2"/>
  <c r="L312" i="2"/>
  <c r="K312" i="2"/>
  <c r="I312" i="2"/>
  <c r="H312" i="2"/>
  <c r="G312" i="2"/>
  <c r="F312" i="2"/>
  <c r="E312" i="2"/>
  <c r="O311" i="2"/>
  <c r="N311" i="2"/>
  <c r="M311" i="2"/>
  <c r="L311" i="2"/>
  <c r="K311" i="2"/>
  <c r="I311" i="2"/>
  <c r="H311" i="2"/>
  <c r="G311" i="2"/>
  <c r="F311" i="2"/>
  <c r="E311" i="2"/>
  <c r="O310" i="2"/>
  <c r="N310" i="2"/>
  <c r="M310" i="2"/>
  <c r="L310" i="2"/>
  <c r="K310" i="2"/>
  <c r="I310" i="2"/>
  <c r="H310" i="2"/>
  <c r="G310" i="2"/>
  <c r="F310" i="2"/>
  <c r="E310" i="2"/>
  <c r="O309" i="2"/>
  <c r="N309" i="2"/>
  <c r="M309" i="2"/>
  <c r="L309" i="2"/>
  <c r="K309" i="2"/>
  <c r="I309" i="2"/>
  <c r="H309" i="2"/>
  <c r="G309" i="2"/>
  <c r="F309" i="2"/>
  <c r="E309" i="2"/>
  <c r="O308" i="2"/>
  <c r="N308" i="2"/>
  <c r="M308" i="2"/>
  <c r="L308" i="2"/>
  <c r="K308" i="2"/>
  <c r="I308" i="2"/>
  <c r="H308" i="2"/>
  <c r="G308" i="2"/>
  <c r="F308" i="2"/>
  <c r="E308" i="2"/>
  <c r="O307" i="2"/>
  <c r="N307" i="2"/>
  <c r="M307" i="2"/>
  <c r="L307" i="2"/>
  <c r="K307" i="2"/>
  <c r="I307" i="2"/>
  <c r="H307" i="2"/>
  <c r="G307" i="2"/>
  <c r="F307" i="2"/>
  <c r="E307" i="2"/>
  <c r="O306" i="2"/>
  <c r="N306" i="2"/>
  <c r="M306" i="2"/>
  <c r="L306" i="2"/>
  <c r="K306" i="2"/>
  <c r="I306" i="2"/>
  <c r="H306" i="2"/>
  <c r="G306" i="2"/>
  <c r="F306" i="2"/>
  <c r="E306" i="2"/>
  <c r="O305" i="2"/>
  <c r="N305" i="2"/>
  <c r="M305" i="2"/>
  <c r="L305" i="2"/>
  <c r="K305" i="2"/>
  <c r="I305" i="2"/>
  <c r="H305" i="2"/>
  <c r="G305" i="2"/>
  <c r="F305" i="2"/>
  <c r="E305" i="2"/>
  <c r="O304" i="2"/>
  <c r="N304" i="2"/>
  <c r="M304" i="2"/>
  <c r="L304" i="2"/>
  <c r="K304" i="2"/>
  <c r="I304" i="2"/>
  <c r="H304" i="2"/>
  <c r="G304" i="2"/>
  <c r="F304" i="2"/>
  <c r="E304" i="2"/>
  <c r="O303" i="2"/>
  <c r="N303" i="2"/>
  <c r="M303" i="2"/>
  <c r="L303" i="2"/>
  <c r="K303" i="2"/>
  <c r="I303" i="2"/>
  <c r="H303" i="2"/>
  <c r="G303" i="2"/>
  <c r="F303" i="2"/>
  <c r="E303" i="2"/>
  <c r="O302" i="2"/>
  <c r="N302" i="2"/>
  <c r="M302" i="2"/>
  <c r="L302" i="2"/>
  <c r="K302" i="2"/>
  <c r="I302" i="2"/>
  <c r="H302" i="2"/>
  <c r="G302" i="2"/>
  <c r="F302" i="2"/>
  <c r="E302" i="2"/>
  <c r="O301" i="2"/>
  <c r="N301" i="2"/>
  <c r="M301" i="2"/>
  <c r="L301" i="2"/>
  <c r="K301" i="2"/>
  <c r="I301" i="2"/>
  <c r="H301" i="2"/>
  <c r="G301" i="2"/>
  <c r="F301" i="2"/>
  <c r="E301" i="2"/>
  <c r="O300" i="2"/>
  <c r="N300" i="2"/>
  <c r="M300" i="2"/>
  <c r="L300" i="2"/>
  <c r="K300" i="2"/>
  <c r="I300" i="2"/>
  <c r="H300" i="2"/>
  <c r="G300" i="2"/>
  <c r="F300" i="2"/>
  <c r="E300" i="2"/>
  <c r="O299" i="2"/>
  <c r="N299" i="2"/>
  <c r="M299" i="2"/>
  <c r="L299" i="2"/>
  <c r="K299" i="2"/>
  <c r="I299" i="2"/>
  <c r="H299" i="2"/>
  <c r="G299" i="2"/>
  <c r="F299" i="2"/>
  <c r="E299" i="2"/>
  <c r="O298" i="2"/>
  <c r="N298" i="2"/>
  <c r="M298" i="2"/>
  <c r="L298" i="2"/>
  <c r="K298" i="2"/>
  <c r="I298" i="2"/>
  <c r="H298" i="2"/>
  <c r="G298" i="2"/>
  <c r="F298" i="2"/>
  <c r="E298" i="2"/>
  <c r="O297" i="2"/>
  <c r="N297" i="2"/>
  <c r="M297" i="2"/>
  <c r="L297" i="2"/>
  <c r="K297" i="2"/>
  <c r="I297" i="2"/>
  <c r="H297" i="2"/>
  <c r="G297" i="2"/>
  <c r="F297" i="2"/>
  <c r="E297" i="2"/>
  <c r="O296" i="2"/>
  <c r="N296" i="2"/>
  <c r="M296" i="2"/>
  <c r="L296" i="2"/>
  <c r="K296" i="2"/>
  <c r="I296" i="2"/>
  <c r="H296" i="2"/>
  <c r="G296" i="2"/>
  <c r="F296" i="2"/>
  <c r="E296" i="2"/>
  <c r="O295" i="2"/>
  <c r="N295" i="2"/>
  <c r="M295" i="2"/>
  <c r="L295" i="2"/>
  <c r="K295" i="2"/>
  <c r="I295" i="2"/>
  <c r="H295" i="2"/>
  <c r="G295" i="2"/>
  <c r="F295" i="2"/>
  <c r="E295" i="2"/>
  <c r="O294" i="2"/>
  <c r="N294" i="2"/>
  <c r="M294" i="2"/>
  <c r="L294" i="2"/>
  <c r="K294" i="2"/>
  <c r="I294" i="2"/>
  <c r="H294" i="2"/>
  <c r="G294" i="2"/>
  <c r="F294" i="2"/>
  <c r="E294" i="2"/>
  <c r="O293" i="2"/>
  <c r="N293" i="2"/>
  <c r="M293" i="2"/>
  <c r="L293" i="2"/>
  <c r="K293" i="2"/>
  <c r="I293" i="2"/>
  <c r="H293" i="2"/>
  <c r="G293" i="2"/>
  <c r="F293" i="2"/>
  <c r="E293" i="2"/>
  <c r="O292" i="2"/>
  <c r="N292" i="2"/>
  <c r="M292" i="2"/>
  <c r="L292" i="2"/>
  <c r="K292" i="2"/>
  <c r="I292" i="2"/>
  <c r="H292" i="2"/>
  <c r="G292" i="2"/>
  <c r="F292" i="2"/>
  <c r="E292" i="2"/>
  <c r="O291" i="2"/>
  <c r="N291" i="2"/>
  <c r="M291" i="2"/>
  <c r="L291" i="2"/>
  <c r="K291" i="2"/>
  <c r="I291" i="2"/>
  <c r="H291" i="2"/>
  <c r="G291" i="2"/>
  <c r="F291" i="2"/>
  <c r="E291" i="2"/>
  <c r="O290" i="2"/>
  <c r="N290" i="2"/>
  <c r="M290" i="2"/>
  <c r="L290" i="2"/>
  <c r="K290" i="2"/>
  <c r="I290" i="2"/>
  <c r="H290" i="2"/>
  <c r="G290" i="2"/>
  <c r="F290" i="2"/>
  <c r="E290" i="2"/>
  <c r="O289" i="2"/>
  <c r="N289" i="2"/>
  <c r="M289" i="2"/>
  <c r="L289" i="2"/>
  <c r="K289" i="2"/>
  <c r="I289" i="2"/>
  <c r="H289" i="2"/>
  <c r="G289" i="2"/>
  <c r="F289" i="2"/>
  <c r="E289" i="2"/>
  <c r="O288" i="2"/>
  <c r="N288" i="2"/>
  <c r="M288" i="2"/>
  <c r="L288" i="2"/>
  <c r="K288" i="2"/>
  <c r="I288" i="2"/>
  <c r="H288" i="2"/>
  <c r="G288" i="2"/>
  <c r="F288" i="2"/>
  <c r="E288" i="2"/>
  <c r="O287" i="2"/>
  <c r="N287" i="2"/>
  <c r="M287" i="2"/>
  <c r="L287" i="2"/>
  <c r="K287" i="2"/>
  <c r="I287" i="2"/>
  <c r="H287" i="2"/>
  <c r="G287" i="2"/>
  <c r="F287" i="2"/>
  <c r="E287" i="2"/>
  <c r="O286" i="2"/>
  <c r="N286" i="2"/>
  <c r="M286" i="2"/>
  <c r="L286" i="2"/>
  <c r="K286" i="2"/>
  <c r="I286" i="2"/>
  <c r="H286" i="2"/>
  <c r="G286" i="2"/>
  <c r="F286" i="2"/>
  <c r="E286" i="2"/>
  <c r="O285" i="2"/>
  <c r="N285" i="2"/>
  <c r="M285" i="2"/>
  <c r="L285" i="2"/>
  <c r="K285" i="2"/>
  <c r="I285" i="2"/>
  <c r="H285" i="2"/>
  <c r="G285" i="2"/>
  <c r="F285" i="2"/>
  <c r="E285" i="2"/>
  <c r="O284" i="2"/>
  <c r="N284" i="2"/>
  <c r="M284" i="2"/>
  <c r="L284" i="2"/>
  <c r="K284" i="2"/>
  <c r="I284" i="2"/>
  <c r="H284" i="2"/>
  <c r="G284" i="2"/>
  <c r="F284" i="2"/>
  <c r="E284" i="2"/>
  <c r="O283" i="2"/>
  <c r="N283" i="2"/>
  <c r="M283" i="2"/>
  <c r="L283" i="2"/>
  <c r="K283" i="2"/>
  <c r="I283" i="2"/>
  <c r="H283" i="2"/>
  <c r="G283" i="2"/>
  <c r="F283" i="2"/>
  <c r="E283" i="2"/>
  <c r="O282" i="2"/>
  <c r="N282" i="2"/>
  <c r="M282" i="2"/>
  <c r="L282" i="2"/>
  <c r="K282" i="2"/>
  <c r="I282" i="2"/>
  <c r="H282" i="2"/>
  <c r="G282" i="2"/>
  <c r="F282" i="2"/>
  <c r="E282" i="2"/>
  <c r="O281" i="2"/>
  <c r="N281" i="2"/>
  <c r="M281" i="2"/>
  <c r="L281" i="2"/>
  <c r="K281" i="2"/>
  <c r="I281" i="2"/>
  <c r="H281" i="2"/>
  <c r="G281" i="2"/>
  <c r="F281" i="2"/>
  <c r="E281" i="2"/>
  <c r="O280" i="2"/>
  <c r="N280" i="2"/>
  <c r="M280" i="2"/>
  <c r="L280" i="2"/>
  <c r="K280" i="2"/>
  <c r="I280" i="2"/>
  <c r="H280" i="2"/>
  <c r="G280" i="2"/>
  <c r="F280" i="2"/>
  <c r="E280" i="2"/>
  <c r="O279" i="2"/>
  <c r="N279" i="2"/>
  <c r="M279" i="2"/>
  <c r="L279" i="2"/>
  <c r="K279" i="2"/>
  <c r="I279" i="2"/>
  <c r="H279" i="2"/>
  <c r="G279" i="2"/>
  <c r="F279" i="2"/>
  <c r="E279" i="2"/>
  <c r="O278" i="2"/>
  <c r="N278" i="2"/>
  <c r="M278" i="2"/>
  <c r="L278" i="2"/>
  <c r="K278" i="2"/>
  <c r="I278" i="2"/>
  <c r="H278" i="2"/>
  <c r="G278" i="2"/>
  <c r="F278" i="2"/>
  <c r="E278" i="2"/>
  <c r="O277" i="2"/>
  <c r="N277" i="2"/>
  <c r="M277" i="2"/>
  <c r="L277" i="2"/>
  <c r="K277" i="2"/>
  <c r="I277" i="2"/>
  <c r="H277" i="2"/>
  <c r="G277" i="2"/>
  <c r="F277" i="2"/>
  <c r="E277" i="2"/>
  <c r="O276" i="2"/>
  <c r="N276" i="2"/>
  <c r="M276" i="2"/>
  <c r="L276" i="2"/>
  <c r="K276" i="2"/>
  <c r="I276" i="2"/>
  <c r="H276" i="2"/>
  <c r="G276" i="2"/>
  <c r="F276" i="2"/>
  <c r="E276" i="2"/>
  <c r="O275" i="2"/>
  <c r="N275" i="2"/>
  <c r="M275" i="2"/>
  <c r="L275" i="2"/>
  <c r="K275" i="2"/>
  <c r="I275" i="2"/>
  <c r="H275" i="2"/>
  <c r="G275" i="2"/>
  <c r="F275" i="2"/>
  <c r="E275" i="2"/>
  <c r="O274" i="2"/>
  <c r="N274" i="2"/>
  <c r="M274" i="2"/>
  <c r="L274" i="2"/>
  <c r="K274" i="2"/>
  <c r="I274" i="2"/>
  <c r="H274" i="2"/>
  <c r="G274" i="2"/>
  <c r="F274" i="2"/>
  <c r="E274" i="2"/>
  <c r="O273" i="2"/>
  <c r="N273" i="2"/>
  <c r="M273" i="2"/>
  <c r="L273" i="2"/>
  <c r="K273" i="2"/>
  <c r="I273" i="2"/>
  <c r="H273" i="2"/>
  <c r="G273" i="2"/>
  <c r="F273" i="2"/>
  <c r="E273" i="2"/>
  <c r="O272" i="2"/>
  <c r="N272" i="2"/>
  <c r="M272" i="2"/>
  <c r="L272" i="2"/>
  <c r="K272" i="2"/>
  <c r="I272" i="2"/>
  <c r="H272" i="2"/>
  <c r="G272" i="2"/>
  <c r="F272" i="2"/>
  <c r="E272" i="2"/>
  <c r="O271" i="2"/>
  <c r="N271" i="2"/>
  <c r="M271" i="2"/>
  <c r="L271" i="2"/>
  <c r="K271" i="2"/>
  <c r="I271" i="2"/>
  <c r="H271" i="2"/>
  <c r="G271" i="2"/>
  <c r="F271" i="2"/>
  <c r="E271" i="2"/>
  <c r="O270" i="2"/>
  <c r="N270" i="2"/>
  <c r="M270" i="2"/>
  <c r="L270" i="2"/>
  <c r="K270" i="2"/>
  <c r="I270" i="2"/>
  <c r="H270" i="2"/>
  <c r="G270" i="2"/>
  <c r="F270" i="2"/>
  <c r="E270" i="2"/>
  <c r="O269" i="2"/>
  <c r="N269" i="2"/>
  <c r="M269" i="2"/>
  <c r="L269" i="2"/>
  <c r="K269" i="2"/>
  <c r="I269" i="2"/>
  <c r="H269" i="2"/>
  <c r="G269" i="2"/>
  <c r="F269" i="2"/>
  <c r="E269" i="2"/>
  <c r="O268" i="2"/>
  <c r="N268" i="2"/>
  <c r="M268" i="2"/>
  <c r="L268" i="2"/>
  <c r="K268" i="2"/>
  <c r="I268" i="2"/>
  <c r="H268" i="2"/>
  <c r="G268" i="2"/>
  <c r="F268" i="2"/>
  <c r="E268" i="2"/>
  <c r="O267" i="2"/>
  <c r="N267" i="2"/>
  <c r="M267" i="2"/>
  <c r="L267" i="2"/>
  <c r="K267" i="2"/>
  <c r="I267" i="2"/>
  <c r="H267" i="2"/>
  <c r="G267" i="2"/>
  <c r="F267" i="2"/>
  <c r="E267" i="2"/>
  <c r="O266" i="2"/>
  <c r="N266" i="2"/>
  <c r="M266" i="2"/>
  <c r="L266" i="2"/>
  <c r="K266" i="2"/>
  <c r="I266" i="2"/>
  <c r="H266" i="2"/>
  <c r="G266" i="2"/>
  <c r="F266" i="2"/>
  <c r="E266" i="2"/>
  <c r="O265" i="2"/>
  <c r="N265" i="2"/>
  <c r="M265" i="2"/>
  <c r="L265" i="2"/>
  <c r="K265" i="2"/>
  <c r="I265" i="2"/>
  <c r="H265" i="2"/>
  <c r="G265" i="2"/>
  <c r="F265" i="2"/>
  <c r="E265" i="2"/>
  <c r="O264" i="2"/>
  <c r="N264" i="2"/>
  <c r="M264" i="2"/>
  <c r="L264" i="2"/>
  <c r="K264" i="2"/>
  <c r="I264" i="2"/>
  <c r="H264" i="2"/>
  <c r="G264" i="2"/>
  <c r="F264" i="2"/>
  <c r="E264" i="2"/>
  <c r="O263" i="2"/>
  <c r="N263" i="2"/>
  <c r="M263" i="2"/>
  <c r="L263" i="2"/>
  <c r="K263" i="2"/>
  <c r="I263" i="2"/>
  <c r="H263" i="2"/>
  <c r="G263" i="2"/>
  <c r="F263" i="2"/>
  <c r="E263" i="2"/>
  <c r="O262" i="2"/>
  <c r="N262" i="2"/>
  <c r="M262" i="2"/>
  <c r="L262" i="2"/>
  <c r="K262" i="2"/>
  <c r="I262" i="2"/>
  <c r="H262" i="2"/>
  <c r="G262" i="2"/>
  <c r="F262" i="2"/>
  <c r="E262" i="2"/>
  <c r="O261" i="2"/>
  <c r="N261" i="2"/>
  <c r="M261" i="2"/>
  <c r="L261" i="2"/>
  <c r="K261" i="2"/>
  <c r="I261" i="2"/>
  <c r="H261" i="2"/>
  <c r="G261" i="2"/>
  <c r="F261" i="2"/>
  <c r="E261" i="2"/>
  <c r="O260" i="2"/>
  <c r="N260" i="2"/>
  <c r="M260" i="2"/>
  <c r="L260" i="2"/>
  <c r="K260" i="2"/>
  <c r="I260" i="2"/>
  <c r="H260" i="2"/>
  <c r="G260" i="2"/>
  <c r="F260" i="2"/>
  <c r="E260" i="2"/>
  <c r="O259" i="2"/>
  <c r="N259" i="2"/>
  <c r="M259" i="2"/>
  <c r="L259" i="2"/>
  <c r="K259" i="2"/>
  <c r="I259" i="2"/>
  <c r="H259" i="2"/>
  <c r="G259" i="2"/>
  <c r="F259" i="2"/>
  <c r="E259" i="2"/>
  <c r="O258" i="2"/>
  <c r="N258" i="2"/>
  <c r="M258" i="2"/>
  <c r="L258" i="2"/>
  <c r="K258" i="2"/>
  <c r="I258" i="2"/>
  <c r="H258" i="2"/>
  <c r="G258" i="2"/>
  <c r="F258" i="2"/>
  <c r="E258" i="2"/>
  <c r="O257" i="2"/>
  <c r="N257" i="2"/>
  <c r="M257" i="2"/>
  <c r="L257" i="2"/>
  <c r="K257" i="2"/>
  <c r="I257" i="2"/>
  <c r="H257" i="2"/>
  <c r="G257" i="2"/>
  <c r="F257" i="2"/>
  <c r="E257" i="2"/>
  <c r="O256" i="2"/>
  <c r="N256" i="2"/>
  <c r="M256" i="2"/>
  <c r="L256" i="2"/>
  <c r="K256" i="2"/>
  <c r="I256" i="2"/>
  <c r="H256" i="2"/>
  <c r="G256" i="2"/>
  <c r="F256" i="2"/>
  <c r="E256" i="2"/>
  <c r="O255" i="2"/>
  <c r="N255" i="2"/>
  <c r="M255" i="2"/>
  <c r="L255" i="2"/>
  <c r="K255" i="2"/>
  <c r="I255" i="2"/>
  <c r="H255" i="2"/>
  <c r="G255" i="2"/>
  <c r="F255" i="2"/>
  <c r="E255" i="2"/>
  <c r="O254" i="2"/>
  <c r="N254" i="2"/>
  <c r="M254" i="2"/>
  <c r="L254" i="2"/>
  <c r="K254" i="2"/>
  <c r="I254" i="2"/>
  <c r="H254" i="2"/>
  <c r="G254" i="2"/>
  <c r="F254" i="2"/>
  <c r="E254" i="2"/>
  <c r="O253" i="2"/>
  <c r="N253" i="2"/>
  <c r="M253" i="2"/>
  <c r="L253" i="2"/>
  <c r="K253" i="2"/>
  <c r="I253" i="2"/>
  <c r="H253" i="2"/>
  <c r="G253" i="2"/>
  <c r="F253" i="2"/>
  <c r="E253" i="2"/>
  <c r="O252" i="2"/>
  <c r="N252" i="2"/>
  <c r="M252" i="2"/>
  <c r="L252" i="2"/>
  <c r="K252" i="2"/>
  <c r="I252" i="2"/>
  <c r="H252" i="2"/>
  <c r="G252" i="2"/>
  <c r="F252" i="2"/>
  <c r="E252" i="2"/>
  <c r="O251" i="2"/>
  <c r="N251" i="2"/>
  <c r="M251" i="2"/>
  <c r="L251" i="2"/>
  <c r="K251" i="2"/>
  <c r="I251" i="2"/>
  <c r="H251" i="2"/>
  <c r="G251" i="2"/>
  <c r="F251" i="2"/>
  <c r="E251" i="2"/>
  <c r="O250" i="2"/>
  <c r="N250" i="2"/>
  <c r="M250" i="2"/>
  <c r="L250" i="2"/>
  <c r="K250" i="2"/>
  <c r="I250" i="2"/>
  <c r="H250" i="2"/>
  <c r="G250" i="2"/>
  <c r="F250" i="2"/>
  <c r="E250" i="2"/>
  <c r="O249" i="2"/>
  <c r="N249" i="2"/>
  <c r="M249" i="2"/>
  <c r="L249" i="2"/>
  <c r="K249" i="2"/>
  <c r="I249" i="2"/>
  <c r="H249" i="2"/>
  <c r="G249" i="2"/>
  <c r="F249" i="2"/>
  <c r="E249" i="2"/>
  <c r="O248" i="2"/>
  <c r="N248" i="2"/>
  <c r="M248" i="2"/>
  <c r="L248" i="2"/>
  <c r="K248" i="2"/>
  <c r="I248" i="2"/>
  <c r="H248" i="2"/>
  <c r="G248" i="2"/>
  <c r="F248" i="2"/>
  <c r="E248" i="2"/>
  <c r="O247" i="2"/>
  <c r="N247" i="2"/>
  <c r="M247" i="2"/>
  <c r="L247" i="2"/>
  <c r="K247" i="2"/>
  <c r="I247" i="2"/>
  <c r="H247" i="2"/>
  <c r="G247" i="2"/>
  <c r="F247" i="2"/>
  <c r="E247" i="2"/>
  <c r="O246" i="2"/>
  <c r="N246" i="2"/>
  <c r="M246" i="2"/>
  <c r="L246" i="2"/>
  <c r="K246" i="2"/>
  <c r="I246" i="2"/>
  <c r="H246" i="2"/>
  <c r="G246" i="2"/>
  <c r="F246" i="2"/>
  <c r="E246" i="2"/>
  <c r="O245" i="2"/>
  <c r="N245" i="2"/>
  <c r="M245" i="2"/>
  <c r="L245" i="2"/>
  <c r="K245" i="2"/>
  <c r="I245" i="2"/>
  <c r="H245" i="2"/>
  <c r="G245" i="2"/>
  <c r="F245" i="2"/>
  <c r="E245" i="2"/>
  <c r="O244" i="2"/>
  <c r="N244" i="2"/>
  <c r="M244" i="2"/>
  <c r="L244" i="2"/>
  <c r="K244" i="2"/>
  <c r="I244" i="2"/>
  <c r="H244" i="2"/>
  <c r="G244" i="2"/>
  <c r="F244" i="2"/>
  <c r="E244" i="2"/>
  <c r="O243" i="2"/>
  <c r="N243" i="2"/>
  <c r="M243" i="2"/>
  <c r="L243" i="2"/>
  <c r="K243" i="2"/>
  <c r="I243" i="2"/>
  <c r="H243" i="2"/>
  <c r="G243" i="2"/>
  <c r="F243" i="2"/>
  <c r="E243" i="2"/>
  <c r="O242" i="2"/>
  <c r="N242" i="2"/>
  <c r="M242" i="2"/>
  <c r="L242" i="2"/>
  <c r="K242" i="2"/>
  <c r="I242" i="2"/>
  <c r="H242" i="2"/>
  <c r="G242" i="2"/>
  <c r="F242" i="2"/>
  <c r="E242" i="2"/>
  <c r="O241" i="2"/>
  <c r="N241" i="2"/>
  <c r="M241" i="2"/>
  <c r="L241" i="2"/>
  <c r="K241" i="2"/>
  <c r="I241" i="2"/>
  <c r="H241" i="2"/>
  <c r="G241" i="2"/>
  <c r="F241" i="2"/>
  <c r="E241" i="2"/>
  <c r="O240" i="2"/>
  <c r="N240" i="2"/>
  <c r="M240" i="2"/>
  <c r="L240" i="2"/>
  <c r="K240" i="2"/>
  <c r="I240" i="2"/>
  <c r="H240" i="2"/>
  <c r="G240" i="2"/>
  <c r="F240" i="2"/>
  <c r="E240" i="2"/>
  <c r="O239" i="2"/>
  <c r="N239" i="2"/>
  <c r="M239" i="2"/>
  <c r="L239" i="2"/>
  <c r="K239" i="2"/>
  <c r="I239" i="2"/>
  <c r="H239" i="2"/>
  <c r="G239" i="2"/>
  <c r="F239" i="2"/>
  <c r="E239" i="2"/>
  <c r="O238" i="2"/>
  <c r="N238" i="2"/>
  <c r="M238" i="2"/>
  <c r="L238" i="2"/>
  <c r="K238" i="2"/>
  <c r="I238" i="2"/>
  <c r="H238" i="2"/>
  <c r="G238" i="2"/>
  <c r="F238" i="2"/>
  <c r="E238" i="2"/>
  <c r="O237" i="2"/>
  <c r="N237" i="2"/>
  <c r="M237" i="2"/>
  <c r="L237" i="2"/>
  <c r="K237" i="2"/>
  <c r="I237" i="2"/>
  <c r="H237" i="2"/>
  <c r="G237" i="2"/>
  <c r="F237" i="2"/>
  <c r="E237" i="2"/>
  <c r="O236" i="2"/>
  <c r="N236" i="2"/>
  <c r="M236" i="2"/>
  <c r="L236" i="2"/>
  <c r="K236" i="2"/>
  <c r="I236" i="2"/>
  <c r="H236" i="2"/>
  <c r="G236" i="2"/>
  <c r="F236" i="2"/>
  <c r="E236" i="2"/>
  <c r="O235" i="2"/>
  <c r="N235" i="2"/>
  <c r="M235" i="2"/>
  <c r="L235" i="2"/>
  <c r="K235" i="2"/>
  <c r="I235" i="2"/>
  <c r="H235" i="2"/>
  <c r="G235" i="2"/>
  <c r="F235" i="2"/>
  <c r="E235" i="2"/>
  <c r="O234" i="2"/>
  <c r="N234" i="2"/>
  <c r="M234" i="2"/>
  <c r="L234" i="2"/>
  <c r="K234" i="2"/>
  <c r="I234" i="2"/>
  <c r="H234" i="2"/>
  <c r="G234" i="2"/>
  <c r="F234" i="2"/>
  <c r="E234" i="2"/>
  <c r="O233" i="2"/>
  <c r="N233" i="2"/>
  <c r="M233" i="2"/>
  <c r="L233" i="2"/>
  <c r="K233" i="2"/>
  <c r="I233" i="2"/>
  <c r="H233" i="2"/>
  <c r="G233" i="2"/>
  <c r="F233" i="2"/>
  <c r="E233" i="2"/>
  <c r="O232" i="2"/>
  <c r="N232" i="2"/>
  <c r="M232" i="2"/>
  <c r="L232" i="2"/>
  <c r="K232" i="2"/>
  <c r="I232" i="2"/>
  <c r="H232" i="2"/>
  <c r="G232" i="2"/>
  <c r="F232" i="2"/>
  <c r="E232" i="2"/>
  <c r="O231" i="2"/>
  <c r="N231" i="2"/>
  <c r="M231" i="2"/>
  <c r="L231" i="2"/>
  <c r="K231" i="2"/>
  <c r="I231" i="2"/>
  <c r="H231" i="2"/>
  <c r="G231" i="2"/>
  <c r="F231" i="2"/>
  <c r="E231" i="2"/>
  <c r="O230" i="2"/>
  <c r="N230" i="2"/>
  <c r="M230" i="2"/>
  <c r="L230" i="2"/>
  <c r="K230" i="2"/>
  <c r="I230" i="2"/>
  <c r="H230" i="2"/>
  <c r="G230" i="2"/>
  <c r="F230" i="2"/>
  <c r="E230" i="2"/>
  <c r="O229" i="2"/>
  <c r="N229" i="2"/>
  <c r="M229" i="2"/>
  <c r="L229" i="2"/>
  <c r="K229" i="2"/>
  <c r="I229" i="2"/>
  <c r="H229" i="2"/>
  <c r="G229" i="2"/>
  <c r="F229" i="2"/>
  <c r="E229" i="2"/>
  <c r="O228" i="2"/>
  <c r="N228" i="2"/>
  <c r="M228" i="2"/>
  <c r="L228" i="2"/>
  <c r="K228" i="2"/>
  <c r="I228" i="2"/>
  <c r="H228" i="2"/>
  <c r="G228" i="2"/>
  <c r="F228" i="2"/>
  <c r="E228" i="2"/>
  <c r="O227" i="2"/>
  <c r="N227" i="2"/>
  <c r="M227" i="2"/>
  <c r="L227" i="2"/>
  <c r="K227" i="2"/>
  <c r="I227" i="2"/>
  <c r="H227" i="2"/>
  <c r="G227" i="2"/>
  <c r="F227" i="2"/>
  <c r="E227" i="2"/>
  <c r="O226" i="2"/>
  <c r="N226" i="2"/>
  <c r="M226" i="2"/>
  <c r="L226" i="2"/>
  <c r="K226" i="2"/>
  <c r="I226" i="2"/>
  <c r="H226" i="2"/>
  <c r="G226" i="2"/>
  <c r="F226" i="2"/>
  <c r="E226" i="2"/>
  <c r="O225" i="2"/>
  <c r="N225" i="2"/>
  <c r="M225" i="2"/>
  <c r="L225" i="2"/>
  <c r="K225" i="2"/>
  <c r="I225" i="2"/>
  <c r="H225" i="2"/>
  <c r="G225" i="2"/>
  <c r="F225" i="2"/>
  <c r="E225" i="2"/>
  <c r="O224" i="2"/>
  <c r="N224" i="2"/>
  <c r="M224" i="2"/>
  <c r="L224" i="2"/>
  <c r="K224" i="2"/>
  <c r="I224" i="2"/>
  <c r="H224" i="2"/>
  <c r="G224" i="2"/>
  <c r="F224" i="2"/>
  <c r="E224" i="2"/>
  <c r="O223" i="2"/>
  <c r="N223" i="2"/>
  <c r="M223" i="2"/>
  <c r="L223" i="2"/>
  <c r="K223" i="2"/>
  <c r="I223" i="2"/>
  <c r="H223" i="2"/>
  <c r="G223" i="2"/>
  <c r="F223" i="2"/>
  <c r="E223" i="2"/>
  <c r="O222" i="2"/>
  <c r="N222" i="2"/>
  <c r="M222" i="2"/>
  <c r="L222" i="2"/>
  <c r="K222" i="2"/>
  <c r="I222" i="2"/>
  <c r="H222" i="2"/>
  <c r="G222" i="2"/>
  <c r="F222" i="2"/>
  <c r="E222" i="2"/>
  <c r="O221" i="2"/>
  <c r="N221" i="2"/>
  <c r="M221" i="2"/>
  <c r="L221" i="2"/>
  <c r="K221" i="2"/>
  <c r="I221" i="2"/>
  <c r="H221" i="2"/>
  <c r="G221" i="2"/>
  <c r="F221" i="2"/>
  <c r="E221" i="2"/>
  <c r="O220" i="2"/>
  <c r="N220" i="2"/>
  <c r="M220" i="2"/>
  <c r="L220" i="2"/>
  <c r="K220" i="2"/>
  <c r="I220" i="2"/>
  <c r="H220" i="2"/>
  <c r="G220" i="2"/>
  <c r="F220" i="2"/>
  <c r="E220" i="2"/>
  <c r="O219" i="2"/>
  <c r="N219" i="2"/>
  <c r="M219" i="2"/>
  <c r="L219" i="2"/>
  <c r="K219" i="2"/>
  <c r="I219" i="2"/>
  <c r="H219" i="2"/>
  <c r="G219" i="2"/>
  <c r="F219" i="2"/>
  <c r="E219" i="2"/>
  <c r="O218" i="2"/>
  <c r="N218" i="2"/>
  <c r="M218" i="2"/>
  <c r="L218" i="2"/>
  <c r="K218" i="2"/>
  <c r="I218" i="2"/>
  <c r="H218" i="2"/>
  <c r="G218" i="2"/>
  <c r="F218" i="2"/>
  <c r="E218" i="2"/>
  <c r="O217" i="2"/>
  <c r="N217" i="2"/>
  <c r="M217" i="2"/>
  <c r="L217" i="2"/>
  <c r="K217" i="2"/>
  <c r="I217" i="2"/>
  <c r="H217" i="2"/>
  <c r="G217" i="2"/>
  <c r="F217" i="2"/>
  <c r="E217" i="2"/>
  <c r="O216" i="2"/>
  <c r="N216" i="2"/>
  <c r="M216" i="2"/>
  <c r="L216" i="2"/>
  <c r="K216" i="2"/>
  <c r="I216" i="2"/>
  <c r="H216" i="2"/>
  <c r="G216" i="2"/>
  <c r="F216" i="2"/>
  <c r="E216" i="2"/>
  <c r="O215" i="2"/>
  <c r="N215" i="2"/>
  <c r="M215" i="2"/>
  <c r="L215" i="2"/>
  <c r="K215" i="2"/>
  <c r="I215" i="2"/>
  <c r="H215" i="2"/>
  <c r="G215" i="2"/>
  <c r="F215" i="2"/>
  <c r="E215" i="2"/>
  <c r="O214" i="2"/>
  <c r="N214" i="2"/>
  <c r="M214" i="2"/>
  <c r="L214" i="2"/>
  <c r="K214" i="2"/>
  <c r="I214" i="2"/>
  <c r="H214" i="2"/>
  <c r="G214" i="2"/>
  <c r="F214" i="2"/>
  <c r="E214" i="2"/>
  <c r="O213" i="2"/>
  <c r="N213" i="2"/>
  <c r="M213" i="2"/>
  <c r="L213" i="2"/>
  <c r="K213" i="2"/>
  <c r="I213" i="2"/>
  <c r="H213" i="2"/>
  <c r="G213" i="2"/>
  <c r="F213" i="2"/>
  <c r="E213" i="2"/>
  <c r="O212" i="2"/>
  <c r="N212" i="2"/>
  <c r="M212" i="2"/>
  <c r="L212" i="2"/>
  <c r="K212" i="2"/>
  <c r="I212" i="2"/>
  <c r="H212" i="2"/>
  <c r="G212" i="2"/>
  <c r="F212" i="2"/>
  <c r="E212" i="2"/>
  <c r="O211" i="2"/>
  <c r="N211" i="2"/>
  <c r="M211" i="2"/>
  <c r="L211" i="2"/>
  <c r="K211" i="2"/>
  <c r="I211" i="2"/>
  <c r="H211" i="2"/>
  <c r="G211" i="2"/>
  <c r="F211" i="2"/>
  <c r="E211" i="2"/>
  <c r="O210" i="2"/>
  <c r="N210" i="2"/>
  <c r="M210" i="2"/>
  <c r="L210" i="2"/>
  <c r="K210" i="2"/>
  <c r="I210" i="2"/>
  <c r="H210" i="2"/>
  <c r="G210" i="2"/>
  <c r="F210" i="2"/>
  <c r="E210" i="2"/>
  <c r="O209" i="2"/>
  <c r="N209" i="2"/>
  <c r="M209" i="2"/>
  <c r="L209" i="2"/>
  <c r="K209" i="2"/>
  <c r="I209" i="2"/>
  <c r="H209" i="2"/>
  <c r="G209" i="2"/>
  <c r="F209" i="2"/>
  <c r="E209" i="2"/>
  <c r="O208" i="2"/>
  <c r="N208" i="2"/>
  <c r="M208" i="2"/>
  <c r="L208" i="2"/>
  <c r="K208" i="2"/>
  <c r="I208" i="2"/>
  <c r="H208" i="2"/>
  <c r="G208" i="2"/>
  <c r="F208" i="2"/>
  <c r="E208" i="2"/>
  <c r="O207" i="2"/>
  <c r="N207" i="2"/>
  <c r="M207" i="2"/>
  <c r="L207" i="2"/>
  <c r="K207" i="2"/>
  <c r="I207" i="2"/>
  <c r="H207" i="2"/>
  <c r="G207" i="2"/>
  <c r="F207" i="2"/>
  <c r="E207" i="2"/>
  <c r="O206" i="2"/>
  <c r="N206" i="2"/>
  <c r="M206" i="2"/>
  <c r="L206" i="2"/>
  <c r="K206" i="2"/>
  <c r="I206" i="2"/>
  <c r="H206" i="2"/>
  <c r="G206" i="2"/>
  <c r="F206" i="2"/>
  <c r="E206" i="2"/>
  <c r="O205" i="2"/>
  <c r="N205" i="2"/>
  <c r="M205" i="2"/>
  <c r="L205" i="2"/>
  <c r="K205" i="2"/>
  <c r="I205" i="2"/>
  <c r="H205" i="2"/>
  <c r="G205" i="2"/>
  <c r="F205" i="2"/>
  <c r="E205" i="2"/>
  <c r="O204" i="2"/>
  <c r="N204" i="2"/>
  <c r="M204" i="2"/>
  <c r="L204" i="2"/>
  <c r="K204" i="2"/>
  <c r="I204" i="2"/>
  <c r="H204" i="2"/>
  <c r="G204" i="2"/>
  <c r="F204" i="2"/>
  <c r="E204" i="2"/>
  <c r="O203" i="2"/>
  <c r="N203" i="2"/>
  <c r="M203" i="2"/>
  <c r="L203" i="2"/>
  <c r="K203" i="2"/>
  <c r="I203" i="2"/>
  <c r="H203" i="2"/>
  <c r="G203" i="2"/>
  <c r="F203" i="2"/>
  <c r="E203" i="2"/>
  <c r="O202" i="2"/>
  <c r="N202" i="2"/>
  <c r="M202" i="2"/>
  <c r="L202" i="2"/>
  <c r="K202" i="2"/>
  <c r="I202" i="2"/>
  <c r="H202" i="2"/>
  <c r="G202" i="2"/>
  <c r="F202" i="2"/>
  <c r="E202" i="2"/>
  <c r="O201" i="2"/>
  <c r="N201" i="2"/>
  <c r="M201" i="2"/>
  <c r="L201" i="2"/>
  <c r="K201" i="2"/>
  <c r="I201" i="2"/>
  <c r="H201" i="2"/>
  <c r="G201" i="2"/>
  <c r="F201" i="2"/>
  <c r="E201" i="2"/>
  <c r="O200" i="2"/>
  <c r="N200" i="2"/>
  <c r="M200" i="2"/>
  <c r="L200" i="2"/>
  <c r="K200" i="2"/>
  <c r="I200" i="2"/>
  <c r="H200" i="2"/>
  <c r="G200" i="2"/>
  <c r="F200" i="2"/>
  <c r="E200" i="2"/>
  <c r="O199" i="2"/>
  <c r="N199" i="2"/>
  <c r="M199" i="2"/>
  <c r="L199" i="2"/>
  <c r="K199" i="2"/>
  <c r="I199" i="2"/>
  <c r="H199" i="2"/>
  <c r="G199" i="2"/>
  <c r="F199" i="2"/>
  <c r="E199" i="2"/>
  <c r="O198" i="2"/>
  <c r="N198" i="2"/>
  <c r="M198" i="2"/>
  <c r="L198" i="2"/>
  <c r="K198" i="2"/>
  <c r="I198" i="2"/>
  <c r="H198" i="2"/>
  <c r="G198" i="2"/>
  <c r="F198" i="2"/>
  <c r="E198" i="2"/>
  <c r="O197" i="2"/>
  <c r="N197" i="2"/>
  <c r="M197" i="2"/>
  <c r="L197" i="2"/>
  <c r="K197" i="2"/>
  <c r="I197" i="2"/>
  <c r="H197" i="2"/>
  <c r="G197" i="2"/>
  <c r="F197" i="2"/>
  <c r="E197" i="2"/>
  <c r="O196" i="2"/>
  <c r="N196" i="2"/>
  <c r="M196" i="2"/>
  <c r="L196" i="2"/>
  <c r="K196" i="2"/>
  <c r="I196" i="2"/>
  <c r="H196" i="2"/>
  <c r="G196" i="2"/>
  <c r="F196" i="2"/>
  <c r="E196" i="2"/>
  <c r="O195" i="2"/>
  <c r="N195" i="2"/>
  <c r="M195" i="2"/>
  <c r="L195" i="2"/>
  <c r="K195" i="2"/>
  <c r="I195" i="2"/>
  <c r="H195" i="2"/>
  <c r="G195" i="2"/>
  <c r="F195" i="2"/>
  <c r="E195" i="2"/>
  <c r="O194" i="2"/>
  <c r="N194" i="2"/>
  <c r="M194" i="2"/>
  <c r="L194" i="2"/>
  <c r="K194" i="2"/>
  <c r="I194" i="2"/>
  <c r="H194" i="2"/>
  <c r="G194" i="2"/>
  <c r="F194" i="2"/>
  <c r="E194" i="2"/>
  <c r="O193" i="2"/>
  <c r="N193" i="2"/>
  <c r="M193" i="2"/>
  <c r="L193" i="2"/>
  <c r="K193" i="2"/>
  <c r="I193" i="2"/>
  <c r="H193" i="2"/>
  <c r="G193" i="2"/>
  <c r="F193" i="2"/>
  <c r="E193" i="2"/>
  <c r="O192" i="2"/>
  <c r="N192" i="2"/>
  <c r="M192" i="2"/>
  <c r="L192" i="2"/>
  <c r="K192" i="2"/>
  <c r="I192" i="2"/>
  <c r="H192" i="2"/>
  <c r="G192" i="2"/>
  <c r="F192" i="2"/>
  <c r="E192" i="2"/>
  <c r="O191" i="2"/>
  <c r="N191" i="2"/>
  <c r="M191" i="2"/>
  <c r="L191" i="2"/>
  <c r="K191" i="2"/>
  <c r="I191" i="2"/>
  <c r="H191" i="2"/>
  <c r="G191" i="2"/>
  <c r="F191" i="2"/>
  <c r="E191" i="2"/>
  <c r="O190" i="2"/>
  <c r="N190" i="2"/>
  <c r="M190" i="2"/>
  <c r="L190" i="2"/>
  <c r="K190" i="2"/>
  <c r="I190" i="2"/>
  <c r="H190" i="2"/>
  <c r="G190" i="2"/>
  <c r="F190" i="2"/>
  <c r="E190" i="2"/>
  <c r="O189" i="2"/>
  <c r="N189" i="2"/>
  <c r="M189" i="2"/>
  <c r="L189" i="2"/>
  <c r="K189" i="2"/>
  <c r="I189" i="2"/>
  <c r="H189" i="2"/>
  <c r="G189" i="2"/>
  <c r="F189" i="2"/>
  <c r="E189" i="2"/>
  <c r="O188" i="2"/>
  <c r="N188" i="2"/>
  <c r="M188" i="2"/>
  <c r="L188" i="2"/>
  <c r="K188" i="2"/>
  <c r="I188" i="2"/>
  <c r="H188" i="2"/>
  <c r="G188" i="2"/>
  <c r="F188" i="2"/>
  <c r="E188" i="2"/>
  <c r="O187" i="2"/>
  <c r="N187" i="2"/>
  <c r="M187" i="2"/>
  <c r="L187" i="2"/>
  <c r="K187" i="2"/>
  <c r="I187" i="2"/>
  <c r="H187" i="2"/>
  <c r="G187" i="2"/>
  <c r="F187" i="2"/>
  <c r="E187" i="2"/>
  <c r="O186" i="2"/>
  <c r="N186" i="2"/>
  <c r="M186" i="2"/>
  <c r="L186" i="2"/>
  <c r="K186" i="2"/>
  <c r="I186" i="2"/>
  <c r="H186" i="2"/>
  <c r="G186" i="2"/>
  <c r="F186" i="2"/>
  <c r="E186" i="2"/>
  <c r="O185" i="2"/>
  <c r="N185" i="2"/>
  <c r="M185" i="2"/>
  <c r="L185" i="2"/>
  <c r="K185" i="2"/>
  <c r="I185" i="2"/>
  <c r="H185" i="2"/>
  <c r="G185" i="2"/>
  <c r="F185" i="2"/>
  <c r="E185" i="2"/>
  <c r="O184" i="2"/>
  <c r="N184" i="2"/>
  <c r="M184" i="2"/>
  <c r="L184" i="2"/>
  <c r="K184" i="2"/>
  <c r="I184" i="2"/>
  <c r="H184" i="2"/>
  <c r="G184" i="2"/>
  <c r="F184" i="2"/>
  <c r="E184" i="2"/>
  <c r="O183" i="2"/>
  <c r="N183" i="2"/>
  <c r="M183" i="2"/>
  <c r="L183" i="2"/>
  <c r="K183" i="2"/>
  <c r="I183" i="2"/>
  <c r="H183" i="2"/>
  <c r="G183" i="2"/>
  <c r="F183" i="2"/>
  <c r="E183" i="2"/>
  <c r="O182" i="2"/>
  <c r="N182" i="2"/>
  <c r="M182" i="2"/>
  <c r="L182" i="2"/>
  <c r="K182" i="2"/>
  <c r="I182" i="2"/>
  <c r="H182" i="2"/>
  <c r="G182" i="2"/>
  <c r="F182" i="2"/>
  <c r="E182" i="2"/>
  <c r="O181" i="2"/>
  <c r="N181" i="2"/>
  <c r="M181" i="2"/>
  <c r="L181" i="2"/>
  <c r="K181" i="2"/>
  <c r="I181" i="2"/>
  <c r="H181" i="2"/>
  <c r="G181" i="2"/>
  <c r="F181" i="2"/>
  <c r="E181" i="2"/>
  <c r="O180" i="2"/>
  <c r="N180" i="2"/>
  <c r="M180" i="2"/>
  <c r="L180" i="2"/>
  <c r="K180" i="2"/>
  <c r="I180" i="2"/>
  <c r="H180" i="2"/>
  <c r="G180" i="2"/>
  <c r="F180" i="2"/>
  <c r="E180" i="2"/>
  <c r="O179" i="2"/>
  <c r="N179" i="2"/>
  <c r="M179" i="2"/>
  <c r="L179" i="2"/>
  <c r="K179" i="2"/>
  <c r="I179" i="2"/>
  <c r="H179" i="2"/>
  <c r="G179" i="2"/>
  <c r="F179" i="2"/>
  <c r="E179" i="2"/>
  <c r="O178" i="2"/>
  <c r="N178" i="2"/>
  <c r="M178" i="2"/>
  <c r="L178" i="2"/>
  <c r="K178" i="2"/>
  <c r="I178" i="2"/>
  <c r="H178" i="2"/>
  <c r="G178" i="2"/>
  <c r="F178" i="2"/>
  <c r="E178" i="2"/>
  <c r="O177" i="2"/>
  <c r="N177" i="2"/>
  <c r="M177" i="2"/>
  <c r="L177" i="2"/>
  <c r="K177" i="2"/>
  <c r="I177" i="2"/>
  <c r="H177" i="2"/>
  <c r="G177" i="2"/>
  <c r="F177" i="2"/>
  <c r="E177" i="2"/>
  <c r="O176" i="2"/>
  <c r="N176" i="2"/>
  <c r="M176" i="2"/>
  <c r="L176" i="2"/>
  <c r="K176" i="2"/>
  <c r="I176" i="2"/>
  <c r="H176" i="2"/>
  <c r="G176" i="2"/>
  <c r="F176" i="2"/>
  <c r="E176" i="2"/>
  <c r="O175" i="2"/>
  <c r="N175" i="2"/>
  <c r="M175" i="2"/>
  <c r="L175" i="2"/>
  <c r="K175" i="2"/>
  <c r="I175" i="2"/>
  <c r="H175" i="2"/>
  <c r="G175" i="2"/>
  <c r="F175" i="2"/>
  <c r="E175" i="2"/>
  <c r="O174" i="2"/>
  <c r="N174" i="2"/>
  <c r="M174" i="2"/>
  <c r="L174" i="2"/>
  <c r="K174" i="2"/>
  <c r="I174" i="2"/>
  <c r="H174" i="2"/>
  <c r="G174" i="2"/>
  <c r="F174" i="2"/>
  <c r="E174" i="2"/>
  <c r="O173" i="2"/>
  <c r="N173" i="2"/>
  <c r="M173" i="2"/>
  <c r="L173" i="2"/>
  <c r="K173" i="2"/>
  <c r="I173" i="2"/>
  <c r="H173" i="2"/>
  <c r="G173" i="2"/>
  <c r="F173" i="2"/>
  <c r="E173" i="2"/>
  <c r="O172" i="2"/>
  <c r="N172" i="2"/>
  <c r="M172" i="2"/>
  <c r="L172" i="2"/>
  <c r="K172" i="2"/>
  <c r="I172" i="2"/>
  <c r="H172" i="2"/>
  <c r="G172" i="2"/>
  <c r="F172" i="2"/>
  <c r="E172" i="2"/>
  <c r="O171" i="2"/>
  <c r="N171" i="2"/>
  <c r="M171" i="2"/>
  <c r="L171" i="2"/>
  <c r="K171" i="2"/>
  <c r="I171" i="2"/>
  <c r="H171" i="2"/>
  <c r="G171" i="2"/>
  <c r="F171" i="2"/>
  <c r="E171" i="2"/>
  <c r="O170" i="2"/>
  <c r="N170" i="2"/>
  <c r="M170" i="2"/>
  <c r="L170" i="2"/>
  <c r="K170" i="2"/>
  <c r="I170" i="2"/>
  <c r="H170" i="2"/>
  <c r="G170" i="2"/>
  <c r="F170" i="2"/>
  <c r="E170" i="2"/>
  <c r="O169" i="2"/>
  <c r="N169" i="2"/>
  <c r="M169" i="2"/>
  <c r="L169" i="2"/>
  <c r="K169" i="2"/>
  <c r="I169" i="2"/>
  <c r="H169" i="2"/>
  <c r="G169" i="2"/>
  <c r="F169" i="2"/>
  <c r="E169" i="2"/>
  <c r="O168" i="2"/>
  <c r="N168" i="2"/>
  <c r="M168" i="2"/>
  <c r="L168" i="2"/>
  <c r="K168" i="2"/>
  <c r="I168" i="2"/>
  <c r="H168" i="2"/>
  <c r="G168" i="2"/>
  <c r="F168" i="2"/>
  <c r="E168" i="2"/>
  <c r="O167" i="2"/>
  <c r="N167" i="2"/>
  <c r="M167" i="2"/>
  <c r="L167" i="2"/>
  <c r="K167" i="2"/>
  <c r="I167" i="2"/>
  <c r="H167" i="2"/>
  <c r="G167" i="2"/>
  <c r="F167" i="2"/>
  <c r="E167" i="2"/>
  <c r="O166" i="2"/>
  <c r="N166" i="2"/>
  <c r="M166" i="2"/>
  <c r="L166" i="2"/>
  <c r="K166" i="2"/>
  <c r="I166" i="2"/>
  <c r="H166" i="2"/>
  <c r="G166" i="2"/>
  <c r="F166" i="2"/>
  <c r="E166" i="2"/>
  <c r="O165" i="2"/>
  <c r="N165" i="2"/>
  <c r="M165" i="2"/>
  <c r="L165" i="2"/>
  <c r="K165" i="2"/>
  <c r="I165" i="2"/>
  <c r="H165" i="2"/>
  <c r="G165" i="2"/>
  <c r="F165" i="2"/>
  <c r="E165" i="2"/>
  <c r="O164" i="2"/>
  <c r="N164" i="2"/>
  <c r="M164" i="2"/>
  <c r="L164" i="2"/>
  <c r="K164" i="2"/>
  <c r="I164" i="2"/>
  <c r="H164" i="2"/>
  <c r="G164" i="2"/>
  <c r="F164" i="2"/>
  <c r="E164" i="2"/>
  <c r="O163" i="2"/>
  <c r="N163" i="2"/>
  <c r="M163" i="2"/>
  <c r="L163" i="2"/>
  <c r="K163" i="2"/>
  <c r="I163" i="2"/>
  <c r="H163" i="2"/>
  <c r="G163" i="2"/>
  <c r="F163" i="2"/>
  <c r="E163" i="2"/>
  <c r="O162" i="2"/>
  <c r="N162" i="2"/>
  <c r="M162" i="2"/>
  <c r="L162" i="2"/>
  <c r="K162" i="2"/>
  <c r="I162" i="2"/>
  <c r="H162" i="2"/>
  <c r="G162" i="2"/>
  <c r="F162" i="2"/>
  <c r="E162" i="2"/>
  <c r="O161" i="2"/>
  <c r="N161" i="2"/>
  <c r="M161" i="2"/>
  <c r="L161" i="2"/>
  <c r="K161" i="2"/>
  <c r="I161" i="2"/>
  <c r="H161" i="2"/>
  <c r="G161" i="2"/>
  <c r="F161" i="2"/>
  <c r="E161" i="2"/>
  <c r="O160" i="2"/>
  <c r="N160" i="2"/>
  <c r="M160" i="2"/>
  <c r="L160" i="2"/>
  <c r="K160" i="2"/>
  <c r="I160" i="2"/>
  <c r="H160" i="2"/>
  <c r="G160" i="2"/>
  <c r="F160" i="2"/>
  <c r="E160" i="2"/>
  <c r="O159" i="2"/>
  <c r="N159" i="2"/>
  <c r="M159" i="2"/>
  <c r="L159" i="2"/>
  <c r="K159" i="2"/>
  <c r="I159" i="2"/>
  <c r="H159" i="2"/>
  <c r="G159" i="2"/>
  <c r="F159" i="2"/>
  <c r="E159" i="2"/>
  <c r="O158" i="2"/>
  <c r="N158" i="2"/>
  <c r="M158" i="2"/>
  <c r="L158" i="2"/>
  <c r="K158" i="2"/>
  <c r="I158" i="2"/>
  <c r="H158" i="2"/>
  <c r="G158" i="2"/>
  <c r="F158" i="2"/>
  <c r="E158" i="2"/>
  <c r="O157" i="2"/>
  <c r="N157" i="2"/>
  <c r="M157" i="2"/>
  <c r="L157" i="2"/>
  <c r="K157" i="2"/>
  <c r="I157" i="2"/>
  <c r="H157" i="2"/>
  <c r="G157" i="2"/>
  <c r="F157" i="2"/>
  <c r="E157" i="2"/>
  <c r="O156" i="2"/>
  <c r="N156" i="2"/>
  <c r="M156" i="2"/>
  <c r="L156" i="2"/>
  <c r="K156" i="2"/>
  <c r="I156" i="2"/>
  <c r="H156" i="2"/>
  <c r="G156" i="2"/>
  <c r="F156" i="2"/>
  <c r="E156" i="2"/>
  <c r="O155" i="2"/>
  <c r="N155" i="2"/>
  <c r="M155" i="2"/>
  <c r="L155" i="2"/>
  <c r="K155" i="2"/>
  <c r="I155" i="2"/>
  <c r="H155" i="2"/>
  <c r="G155" i="2"/>
  <c r="F155" i="2"/>
  <c r="E155" i="2"/>
  <c r="O154" i="2"/>
  <c r="N154" i="2"/>
  <c r="M154" i="2"/>
  <c r="L154" i="2"/>
  <c r="K154" i="2"/>
  <c r="I154" i="2"/>
  <c r="H154" i="2"/>
  <c r="G154" i="2"/>
  <c r="F154" i="2"/>
  <c r="E154" i="2"/>
  <c r="O153" i="2"/>
  <c r="N153" i="2"/>
  <c r="M153" i="2"/>
  <c r="L153" i="2"/>
  <c r="K153" i="2"/>
  <c r="I153" i="2"/>
  <c r="H153" i="2"/>
  <c r="G153" i="2"/>
  <c r="F153" i="2"/>
  <c r="E153" i="2"/>
  <c r="O152" i="2"/>
  <c r="N152" i="2"/>
  <c r="M152" i="2"/>
  <c r="L152" i="2"/>
  <c r="K152" i="2"/>
  <c r="I152" i="2"/>
  <c r="H152" i="2"/>
  <c r="G152" i="2"/>
  <c r="F152" i="2"/>
  <c r="E152" i="2"/>
  <c r="O151" i="2"/>
  <c r="N151" i="2"/>
  <c r="M151" i="2"/>
  <c r="L151" i="2"/>
  <c r="K151" i="2"/>
  <c r="I151" i="2"/>
  <c r="H151" i="2"/>
  <c r="G151" i="2"/>
  <c r="F151" i="2"/>
  <c r="E151" i="2"/>
  <c r="O150" i="2"/>
  <c r="N150" i="2"/>
  <c r="M150" i="2"/>
  <c r="L150" i="2"/>
  <c r="K150" i="2"/>
  <c r="I150" i="2"/>
  <c r="H150" i="2"/>
  <c r="G150" i="2"/>
  <c r="F150" i="2"/>
  <c r="E150" i="2"/>
  <c r="O149" i="2"/>
  <c r="N149" i="2"/>
  <c r="M149" i="2"/>
  <c r="L149" i="2"/>
  <c r="K149" i="2"/>
  <c r="I149" i="2"/>
  <c r="H149" i="2"/>
  <c r="G149" i="2"/>
  <c r="F149" i="2"/>
  <c r="E149" i="2"/>
  <c r="O148" i="2"/>
  <c r="N148" i="2"/>
  <c r="M148" i="2"/>
  <c r="L148" i="2"/>
  <c r="K148" i="2"/>
  <c r="I148" i="2"/>
  <c r="H148" i="2"/>
  <c r="G148" i="2"/>
  <c r="F148" i="2"/>
  <c r="E148" i="2"/>
  <c r="O147" i="2"/>
  <c r="N147" i="2"/>
  <c r="M147" i="2"/>
  <c r="L147" i="2"/>
  <c r="K147" i="2"/>
  <c r="I147" i="2"/>
  <c r="H147" i="2"/>
  <c r="G147" i="2"/>
  <c r="F147" i="2"/>
  <c r="E147" i="2"/>
  <c r="O146" i="2"/>
  <c r="N146" i="2"/>
  <c r="M146" i="2"/>
  <c r="L146" i="2"/>
  <c r="K146" i="2"/>
  <c r="I146" i="2"/>
  <c r="H146" i="2"/>
  <c r="G146" i="2"/>
  <c r="F146" i="2"/>
  <c r="E146" i="2"/>
  <c r="O145" i="2"/>
  <c r="N145" i="2"/>
  <c r="M145" i="2"/>
  <c r="L145" i="2"/>
  <c r="K145" i="2"/>
  <c r="I145" i="2"/>
  <c r="H145" i="2"/>
  <c r="G145" i="2"/>
  <c r="F145" i="2"/>
  <c r="E145" i="2"/>
  <c r="O144" i="2"/>
  <c r="N144" i="2"/>
  <c r="M144" i="2"/>
  <c r="L144" i="2"/>
  <c r="K144" i="2"/>
  <c r="I144" i="2"/>
  <c r="H144" i="2"/>
  <c r="G144" i="2"/>
  <c r="F144" i="2"/>
  <c r="E144" i="2"/>
  <c r="O143" i="2"/>
  <c r="N143" i="2"/>
  <c r="M143" i="2"/>
  <c r="L143" i="2"/>
  <c r="K143" i="2"/>
  <c r="I143" i="2"/>
  <c r="H143" i="2"/>
  <c r="G143" i="2"/>
  <c r="F143" i="2"/>
  <c r="E143" i="2"/>
  <c r="O142" i="2"/>
  <c r="N142" i="2"/>
  <c r="M142" i="2"/>
  <c r="L142" i="2"/>
  <c r="K142" i="2"/>
  <c r="I142" i="2"/>
  <c r="H142" i="2"/>
  <c r="G142" i="2"/>
  <c r="F142" i="2"/>
  <c r="E142" i="2"/>
  <c r="O141" i="2"/>
  <c r="N141" i="2"/>
  <c r="M141" i="2"/>
  <c r="L141" i="2"/>
  <c r="K141" i="2"/>
  <c r="I141" i="2"/>
  <c r="H141" i="2"/>
  <c r="G141" i="2"/>
  <c r="F141" i="2"/>
  <c r="E141" i="2"/>
  <c r="O140" i="2"/>
  <c r="N140" i="2"/>
  <c r="M140" i="2"/>
  <c r="L140" i="2"/>
  <c r="K140" i="2"/>
  <c r="I140" i="2"/>
  <c r="H140" i="2"/>
  <c r="G140" i="2"/>
  <c r="F140" i="2"/>
  <c r="E140" i="2"/>
  <c r="O139" i="2"/>
  <c r="N139" i="2"/>
  <c r="M139" i="2"/>
  <c r="L139" i="2"/>
  <c r="K139" i="2"/>
  <c r="I139" i="2"/>
  <c r="H139" i="2"/>
  <c r="G139" i="2"/>
  <c r="F139" i="2"/>
  <c r="E139" i="2"/>
  <c r="O138" i="2"/>
  <c r="N138" i="2"/>
  <c r="M138" i="2"/>
  <c r="L138" i="2"/>
  <c r="K138" i="2"/>
  <c r="I138" i="2"/>
  <c r="H138" i="2"/>
  <c r="G138" i="2"/>
  <c r="F138" i="2"/>
  <c r="E138" i="2"/>
  <c r="O137" i="2"/>
  <c r="N137" i="2"/>
  <c r="M137" i="2"/>
  <c r="L137" i="2"/>
  <c r="K137" i="2"/>
  <c r="I137" i="2"/>
  <c r="H137" i="2"/>
  <c r="G137" i="2"/>
  <c r="F137" i="2"/>
  <c r="E137" i="2"/>
  <c r="O136" i="2"/>
  <c r="N136" i="2"/>
  <c r="M136" i="2"/>
  <c r="L136" i="2"/>
  <c r="K136" i="2"/>
  <c r="I136" i="2"/>
  <c r="H136" i="2"/>
  <c r="G136" i="2"/>
  <c r="F136" i="2"/>
  <c r="E136" i="2"/>
  <c r="O135" i="2"/>
  <c r="N135" i="2"/>
  <c r="M135" i="2"/>
  <c r="L135" i="2"/>
  <c r="K135" i="2"/>
  <c r="I135" i="2"/>
  <c r="H135" i="2"/>
  <c r="G135" i="2"/>
  <c r="F135" i="2"/>
  <c r="E135" i="2"/>
  <c r="O134" i="2"/>
  <c r="N134" i="2"/>
  <c r="M134" i="2"/>
  <c r="L134" i="2"/>
  <c r="K134" i="2"/>
  <c r="I134" i="2"/>
  <c r="H134" i="2"/>
  <c r="G134" i="2"/>
  <c r="F134" i="2"/>
  <c r="E134" i="2"/>
  <c r="O133" i="2"/>
  <c r="N133" i="2"/>
  <c r="M133" i="2"/>
  <c r="L133" i="2"/>
  <c r="K133" i="2"/>
  <c r="I133" i="2"/>
  <c r="H133" i="2"/>
  <c r="G133" i="2"/>
  <c r="F133" i="2"/>
  <c r="E133" i="2"/>
  <c r="O132" i="2"/>
  <c r="N132" i="2"/>
  <c r="M132" i="2"/>
  <c r="L132" i="2"/>
  <c r="K132" i="2"/>
  <c r="I132" i="2"/>
  <c r="H132" i="2"/>
  <c r="G132" i="2"/>
  <c r="F132" i="2"/>
  <c r="E132" i="2"/>
  <c r="O131" i="2"/>
  <c r="N131" i="2"/>
  <c r="M131" i="2"/>
  <c r="L131" i="2"/>
  <c r="K131" i="2"/>
  <c r="I131" i="2"/>
  <c r="H131" i="2"/>
  <c r="G131" i="2"/>
  <c r="F131" i="2"/>
  <c r="E131" i="2"/>
  <c r="O130" i="2"/>
  <c r="N130" i="2"/>
  <c r="M130" i="2"/>
  <c r="L130" i="2"/>
  <c r="K130" i="2"/>
  <c r="I130" i="2"/>
  <c r="H130" i="2"/>
  <c r="G130" i="2"/>
  <c r="F130" i="2"/>
  <c r="E130" i="2"/>
  <c r="O129" i="2"/>
  <c r="N129" i="2"/>
  <c r="M129" i="2"/>
  <c r="L129" i="2"/>
  <c r="K129" i="2"/>
  <c r="I129" i="2"/>
  <c r="H129" i="2"/>
  <c r="G129" i="2"/>
  <c r="F129" i="2"/>
  <c r="E129" i="2"/>
  <c r="O128" i="2"/>
  <c r="N128" i="2"/>
  <c r="M128" i="2"/>
  <c r="L128" i="2"/>
  <c r="K128" i="2"/>
  <c r="I128" i="2"/>
  <c r="H128" i="2"/>
  <c r="G128" i="2"/>
  <c r="F128" i="2"/>
  <c r="E128" i="2"/>
  <c r="O127" i="2"/>
  <c r="N127" i="2"/>
  <c r="M127" i="2"/>
  <c r="L127" i="2"/>
  <c r="K127" i="2"/>
  <c r="I127" i="2"/>
  <c r="H127" i="2"/>
  <c r="G127" i="2"/>
  <c r="F127" i="2"/>
  <c r="E127" i="2"/>
  <c r="O126" i="2"/>
  <c r="N126" i="2"/>
  <c r="M126" i="2"/>
  <c r="L126" i="2"/>
  <c r="K126" i="2"/>
  <c r="I126" i="2"/>
  <c r="H126" i="2"/>
  <c r="G126" i="2"/>
  <c r="F126" i="2"/>
  <c r="E126" i="2"/>
  <c r="O125" i="2"/>
  <c r="N125" i="2"/>
  <c r="M125" i="2"/>
  <c r="L125" i="2"/>
  <c r="K125" i="2"/>
  <c r="I125" i="2"/>
  <c r="H125" i="2"/>
  <c r="G125" i="2"/>
  <c r="F125" i="2"/>
  <c r="E125" i="2"/>
  <c r="O124" i="2"/>
  <c r="N124" i="2"/>
  <c r="M124" i="2"/>
  <c r="L124" i="2"/>
  <c r="K124" i="2"/>
  <c r="I124" i="2"/>
  <c r="H124" i="2"/>
  <c r="G124" i="2"/>
  <c r="F124" i="2"/>
  <c r="E124" i="2"/>
  <c r="O123" i="2"/>
  <c r="N123" i="2"/>
  <c r="M123" i="2"/>
  <c r="L123" i="2"/>
  <c r="K123" i="2"/>
  <c r="I123" i="2"/>
  <c r="H123" i="2"/>
  <c r="G123" i="2"/>
  <c r="F123" i="2"/>
  <c r="E123" i="2"/>
  <c r="O122" i="2"/>
  <c r="N122" i="2"/>
  <c r="M122" i="2"/>
  <c r="L122" i="2"/>
  <c r="K122" i="2"/>
  <c r="I122" i="2"/>
  <c r="H122" i="2"/>
  <c r="G122" i="2"/>
  <c r="F122" i="2"/>
  <c r="E122" i="2"/>
  <c r="O121" i="2"/>
  <c r="N121" i="2"/>
  <c r="M121" i="2"/>
  <c r="L121" i="2"/>
  <c r="K121" i="2"/>
  <c r="I121" i="2"/>
  <c r="H121" i="2"/>
  <c r="G121" i="2"/>
  <c r="F121" i="2"/>
  <c r="E121" i="2"/>
  <c r="O120" i="2"/>
  <c r="N120" i="2"/>
  <c r="M120" i="2"/>
  <c r="L120" i="2"/>
  <c r="K120" i="2"/>
  <c r="I120" i="2"/>
  <c r="H120" i="2"/>
  <c r="G120" i="2"/>
  <c r="F120" i="2"/>
  <c r="E120" i="2"/>
  <c r="O119" i="2"/>
  <c r="N119" i="2"/>
  <c r="M119" i="2"/>
  <c r="L119" i="2"/>
  <c r="K119" i="2"/>
  <c r="I119" i="2"/>
  <c r="H119" i="2"/>
  <c r="G119" i="2"/>
  <c r="F119" i="2"/>
  <c r="E119" i="2"/>
  <c r="O118" i="2"/>
  <c r="N118" i="2"/>
  <c r="M118" i="2"/>
  <c r="L118" i="2"/>
  <c r="K118" i="2"/>
  <c r="I118" i="2"/>
  <c r="H118" i="2"/>
  <c r="G118" i="2"/>
  <c r="F118" i="2"/>
  <c r="E118" i="2"/>
  <c r="O117" i="2"/>
  <c r="N117" i="2"/>
  <c r="M117" i="2"/>
  <c r="L117" i="2"/>
  <c r="K117" i="2"/>
  <c r="I117" i="2"/>
  <c r="H117" i="2"/>
  <c r="G117" i="2"/>
  <c r="F117" i="2"/>
  <c r="E117" i="2"/>
  <c r="O116" i="2"/>
  <c r="N116" i="2"/>
  <c r="M116" i="2"/>
  <c r="L116" i="2"/>
  <c r="K116" i="2"/>
  <c r="I116" i="2"/>
  <c r="H116" i="2"/>
  <c r="G116" i="2"/>
  <c r="F116" i="2"/>
  <c r="E116" i="2"/>
  <c r="O115" i="2"/>
  <c r="N115" i="2"/>
  <c r="M115" i="2"/>
  <c r="L115" i="2"/>
  <c r="K115" i="2"/>
  <c r="I115" i="2"/>
  <c r="H115" i="2"/>
  <c r="G115" i="2"/>
  <c r="F115" i="2"/>
  <c r="E115" i="2"/>
  <c r="O114" i="2"/>
  <c r="N114" i="2"/>
  <c r="M114" i="2"/>
  <c r="L114" i="2"/>
  <c r="K114" i="2"/>
  <c r="I114" i="2"/>
  <c r="H114" i="2"/>
  <c r="G114" i="2"/>
  <c r="F114" i="2"/>
  <c r="E114" i="2"/>
  <c r="O113" i="2"/>
  <c r="N113" i="2"/>
  <c r="M113" i="2"/>
  <c r="L113" i="2"/>
  <c r="K113" i="2"/>
  <c r="I113" i="2"/>
  <c r="H113" i="2"/>
  <c r="G113" i="2"/>
  <c r="F113" i="2"/>
  <c r="E113" i="2"/>
  <c r="O112" i="2"/>
  <c r="N112" i="2"/>
  <c r="M112" i="2"/>
  <c r="L112" i="2"/>
  <c r="K112" i="2"/>
  <c r="I112" i="2"/>
  <c r="H112" i="2"/>
  <c r="G112" i="2"/>
  <c r="F112" i="2"/>
  <c r="E112" i="2"/>
  <c r="O111" i="2"/>
  <c r="N111" i="2"/>
  <c r="M111" i="2"/>
  <c r="L111" i="2"/>
  <c r="K111" i="2"/>
  <c r="I111" i="2"/>
  <c r="H111" i="2"/>
  <c r="G111" i="2"/>
  <c r="F111" i="2"/>
  <c r="E111" i="2"/>
  <c r="O110" i="2"/>
  <c r="N110" i="2"/>
  <c r="M110" i="2"/>
  <c r="L110" i="2"/>
  <c r="K110" i="2"/>
  <c r="I110" i="2"/>
  <c r="H110" i="2"/>
  <c r="G110" i="2"/>
  <c r="F110" i="2"/>
  <c r="E110" i="2"/>
  <c r="O109" i="2"/>
  <c r="N109" i="2"/>
  <c r="M109" i="2"/>
  <c r="L109" i="2"/>
  <c r="K109" i="2"/>
  <c r="I109" i="2"/>
  <c r="H109" i="2"/>
  <c r="G109" i="2"/>
  <c r="F109" i="2"/>
  <c r="E109" i="2"/>
  <c r="O108" i="2"/>
  <c r="N108" i="2"/>
  <c r="M108" i="2"/>
  <c r="L108" i="2"/>
  <c r="K108" i="2"/>
  <c r="I108" i="2"/>
  <c r="H108" i="2"/>
  <c r="G108" i="2"/>
  <c r="F108" i="2"/>
  <c r="E108" i="2"/>
  <c r="O107" i="2"/>
  <c r="N107" i="2"/>
  <c r="M107" i="2"/>
  <c r="L107" i="2"/>
  <c r="K107" i="2"/>
  <c r="I107" i="2"/>
  <c r="H107" i="2"/>
  <c r="G107" i="2"/>
  <c r="F107" i="2"/>
  <c r="E107" i="2"/>
  <c r="O106" i="2"/>
  <c r="N106" i="2"/>
  <c r="M106" i="2"/>
  <c r="L106" i="2"/>
  <c r="K106" i="2"/>
  <c r="I106" i="2"/>
  <c r="H106" i="2"/>
  <c r="G106" i="2"/>
  <c r="F106" i="2"/>
  <c r="E106" i="2"/>
  <c r="O105" i="2"/>
  <c r="N105" i="2"/>
  <c r="M105" i="2"/>
  <c r="L105" i="2"/>
  <c r="K105" i="2"/>
  <c r="I105" i="2"/>
  <c r="H105" i="2"/>
  <c r="G105" i="2"/>
  <c r="F105" i="2"/>
  <c r="E105" i="2"/>
  <c r="O104" i="2"/>
  <c r="N104" i="2"/>
  <c r="M104" i="2"/>
  <c r="L104" i="2"/>
  <c r="K104" i="2"/>
  <c r="I104" i="2"/>
  <c r="H104" i="2"/>
  <c r="G104" i="2"/>
  <c r="F104" i="2"/>
  <c r="E104" i="2"/>
  <c r="O103" i="2"/>
  <c r="N103" i="2"/>
  <c r="M103" i="2"/>
  <c r="L103" i="2"/>
  <c r="K103" i="2"/>
  <c r="I103" i="2"/>
  <c r="H103" i="2"/>
  <c r="G103" i="2"/>
  <c r="F103" i="2"/>
  <c r="E103" i="2"/>
  <c r="O102" i="2"/>
  <c r="N102" i="2"/>
  <c r="M102" i="2"/>
  <c r="L102" i="2"/>
  <c r="K102" i="2"/>
  <c r="I102" i="2"/>
  <c r="H102" i="2"/>
  <c r="G102" i="2"/>
  <c r="F102" i="2"/>
  <c r="E102" i="2"/>
  <c r="O101" i="2"/>
  <c r="N101" i="2"/>
  <c r="M101" i="2"/>
  <c r="L101" i="2"/>
  <c r="K101" i="2"/>
  <c r="I101" i="2"/>
  <c r="H101" i="2"/>
  <c r="G101" i="2"/>
  <c r="F101" i="2"/>
  <c r="E101" i="2"/>
  <c r="O100" i="2"/>
  <c r="N100" i="2"/>
  <c r="M100" i="2"/>
  <c r="L100" i="2"/>
  <c r="K100" i="2"/>
  <c r="I100" i="2"/>
  <c r="H100" i="2"/>
  <c r="G100" i="2"/>
  <c r="F100" i="2"/>
  <c r="E100" i="2"/>
  <c r="O99" i="2"/>
  <c r="N99" i="2"/>
  <c r="M99" i="2"/>
  <c r="L99" i="2"/>
  <c r="K99" i="2"/>
  <c r="I99" i="2"/>
  <c r="H99" i="2"/>
  <c r="G99" i="2"/>
  <c r="F99" i="2"/>
  <c r="E99" i="2"/>
  <c r="O98" i="2"/>
  <c r="N98" i="2"/>
  <c r="M98" i="2"/>
  <c r="L98" i="2"/>
  <c r="K98" i="2"/>
  <c r="I98" i="2"/>
  <c r="H98" i="2"/>
  <c r="G98" i="2"/>
  <c r="F98" i="2"/>
  <c r="E98" i="2"/>
  <c r="O97" i="2"/>
  <c r="N97" i="2"/>
  <c r="M97" i="2"/>
  <c r="L97" i="2"/>
  <c r="K97" i="2"/>
  <c r="I97" i="2"/>
  <c r="H97" i="2"/>
  <c r="G97" i="2"/>
  <c r="F97" i="2"/>
  <c r="E97" i="2"/>
  <c r="O96" i="2"/>
  <c r="N96" i="2"/>
  <c r="M96" i="2"/>
  <c r="L96" i="2"/>
  <c r="K96" i="2"/>
  <c r="I96" i="2"/>
  <c r="H96" i="2"/>
  <c r="G96" i="2"/>
  <c r="F96" i="2"/>
  <c r="E96" i="2"/>
  <c r="O95" i="2"/>
  <c r="N95" i="2"/>
  <c r="M95" i="2"/>
  <c r="L95" i="2"/>
  <c r="K95" i="2"/>
  <c r="I95" i="2"/>
  <c r="H95" i="2"/>
  <c r="G95" i="2"/>
  <c r="F95" i="2"/>
  <c r="E95" i="2"/>
  <c r="O94" i="2"/>
  <c r="N94" i="2"/>
  <c r="M94" i="2"/>
  <c r="L94" i="2"/>
  <c r="K94" i="2"/>
  <c r="I94" i="2"/>
  <c r="H94" i="2"/>
  <c r="G94" i="2"/>
  <c r="F94" i="2"/>
  <c r="E94" i="2"/>
  <c r="O93" i="2"/>
  <c r="N93" i="2"/>
  <c r="M93" i="2"/>
  <c r="L93" i="2"/>
  <c r="K93" i="2"/>
  <c r="I93" i="2"/>
  <c r="H93" i="2"/>
  <c r="G93" i="2"/>
  <c r="F93" i="2"/>
  <c r="E93" i="2"/>
  <c r="O92" i="2"/>
  <c r="N92" i="2"/>
  <c r="M92" i="2"/>
  <c r="L92" i="2"/>
  <c r="K92" i="2"/>
  <c r="I92" i="2"/>
  <c r="H92" i="2"/>
  <c r="G92" i="2"/>
  <c r="F92" i="2"/>
  <c r="E92" i="2"/>
  <c r="O91" i="2"/>
  <c r="N91" i="2"/>
  <c r="M91" i="2"/>
  <c r="L91" i="2"/>
  <c r="K91" i="2"/>
  <c r="I91" i="2"/>
  <c r="H91" i="2"/>
  <c r="G91" i="2"/>
  <c r="F91" i="2"/>
  <c r="E91" i="2"/>
  <c r="O90" i="2"/>
  <c r="N90" i="2"/>
  <c r="M90" i="2"/>
  <c r="L90" i="2"/>
  <c r="K90" i="2"/>
  <c r="I90" i="2"/>
  <c r="H90" i="2"/>
  <c r="G90" i="2"/>
  <c r="F90" i="2"/>
  <c r="E90" i="2"/>
  <c r="O89" i="2"/>
  <c r="N89" i="2"/>
  <c r="M89" i="2"/>
  <c r="L89" i="2"/>
  <c r="K89" i="2"/>
  <c r="I89" i="2"/>
  <c r="H89" i="2"/>
  <c r="G89" i="2"/>
  <c r="F89" i="2"/>
  <c r="E89" i="2"/>
  <c r="O88" i="2"/>
  <c r="N88" i="2"/>
  <c r="M88" i="2"/>
  <c r="L88" i="2"/>
  <c r="K88" i="2"/>
  <c r="I88" i="2"/>
  <c r="H88" i="2"/>
  <c r="G88" i="2"/>
  <c r="F88" i="2"/>
  <c r="E88" i="2"/>
  <c r="O87" i="2"/>
  <c r="N87" i="2"/>
  <c r="M87" i="2"/>
  <c r="L87" i="2"/>
  <c r="K87" i="2"/>
  <c r="I87" i="2"/>
  <c r="H87" i="2"/>
  <c r="G87" i="2"/>
  <c r="F87" i="2"/>
  <c r="E87" i="2"/>
  <c r="O86" i="2"/>
  <c r="N86" i="2"/>
  <c r="M86" i="2"/>
  <c r="L86" i="2"/>
  <c r="K86" i="2"/>
  <c r="I86" i="2"/>
  <c r="H86" i="2"/>
  <c r="G86" i="2"/>
  <c r="F86" i="2"/>
  <c r="E86" i="2"/>
  <c r="O85" i="2"/>
  <c r="N85" i="2"/>
  <c r="M85" i="2"/>
  <c r="L85" i="2"/>
  <c r="K85" i="2"/>
  <c r="I85" i="2"/>
  <c r="H85" i="2"/>
  <c r="G85" i="2"/>
  <c r="F85" i="2"/>
  <c r="E85" i="2"/>
  <c r="O84" i="2"/>
  <c r="N84" i="2"/>
  <c r="M84" i="2"/>
  <c r="L84" i="2"/>
  <c r="K84" i="2"/>
  <c r="I84" i="2"/>
  <c r="H84" i="2"/>
  <c r="G84" i="2"/>
  <c r="F84" i="2"/>
  <c r="E84" i="2"/>
  <c r="O83" i="2"/>
  <c r="N83" i="2"/>
  <c r="M83" i="2"/>
  <c r="L83" i="2"/>
  <c r="K83" i="2"/>
  <c r="I83" i="2"/>
  <c r="H83" i="2"/>
  <c r="G83" i="2"/>
  <c r="F83" i="2"/>
  <c r="E83" i="2"/>
  <c r="O82" i="2"/>
  <c r="N82" i="2"/>
  <c r="M82" i="2"/>
  <c r="L82" i="2"/>
  <c r="K82" i="2"/>
  <c r="I82" i="2"/>
  <c r="H82" i="2"/>
  <c r="G82" i="2"/>
  <c r="F82" i="2"/>
  <c r="E82" i="2"/>
  <c r="O81" i="2"/>
  <c r="N81" i="2"/>
  <c r="M81" i="2"/>
  <c r="L81" i="2"/>
  <c r="K81" i="2"/>
  <c r="I81" i="2"/>
  <c r="H81" i="2"/>
  <c r="G81" i="2"/>
  <c r="F81" i="2"/>
  <c r="E81" i="2"/>
  <c r="O80" i="2"/>
  <c r="N80" i="2"/>
  <c r="M80" i="2"/>
  <c r="L80" i="2"/>
  <c r="K80" i="2"/>
  <c r="I80" i="2"/>
  <c r="H80" i="2"/>
  <c r="G80" i="2"/>
  <c r="F80" i="2"/>
  <c r="E80" i="2"/>
  <c r="O79" i="2"/>
  <c r="N79" i="2"/>
  <c r="M79" i="2"/>
  <c r="L79" i="2"/>
  <c r="K79" i="2"/>
  <c r="I79" i="2"/>
  <c r="H79" i="2"/>
  <c r="G79" i="2"/>
  <c r="F79" i="2"/>
  <c r="E79" i="2"/>
  <c r="O78" i="2"/>
  <c r="N78" i="2"/>
  <c r="M78" i="2"/>
  <c r="L78" i="2"/>
  <c r="K78" i="2"/>
  <c r="I78" i="2"/>
  <c r="H78" i="2"/>
  <c r="G78" i="2"/>
  <c r="F78" i="2"/>
  <c r="E78" i="2"/>
  <c r="O77" i="2"/>
  <c r="N77" i="2"/>
  <c r="M77" i="2"/>
  <c r="L77" i="2"/>
  <c r="K77" i="2"/>
  <c r="I77" i="2"/>
  <c r="H77" i="2"/>
  <c r="G77" i="2"/>
  <c r="F77" i="2"/>
  <c r="E77" i="2"/>
  <c r="O76" i="2"/>
  <c r="N76" i="2"/>
  <c r="M76" i="2"/>
  <c r="L76" i="2"/>
  <c r="K76" i="2"/>
  <c r="I76" i="2"/>
  <c r="H76" i="2"/>
  <c r="G76" i="2"/>
  <c r="F76" i="2"/>
  <c r="E76" i="2"/>
  <c r="O75" i="2"/>
  <c r="N75" i="2"/>
  <c r="M75" i="2"/>
  <c r="L75" i="2"/>
  <c r="K75" i="2"/>
  <c r="I75" i="2"/>
  <c r="H75" i="2"/>
  <c r="G75" i="2"/>
  <c r="F75" i="2"/>
  <c r="E75" i="2"/>
  <c r="O74" i="2"/>
  <c r="N74" i="2"/>
  <c r="M74" i="2"/>
  <c r="L74" i="2"/>
  <c r="K74" i="2"/>
  <c r="I74" i="2"/>
  <c r="H74" i="2"/>
  <c r="G74" i="2"/>
  <c r="F74" i="2"/>
  <c r="E74" i="2"/>
  <c r="O73" i="2"/>
  <c r="N73" i="2"/>
  <c r="M73" i="2"/>
  <c r="L73" i="2"/>
  <c r="K73" i="2"/>
  <c r="I73" i="2"/>
  <c r="H73" i="2"/>
  <c r="G73" i="2"/>
  <c r="F73" i="2"/>
  <c r="E73" i="2"/>
  <c r="O72" i="2"/>
  <c r="N72" i="2"/>
  <c r="M72" i="2"/>
  <c r="L72" i="2"/>
  <c r="K72" i="2"/>
  <c r="I72" i="2"/>
  <c r="H72" i="2"/>
  <c r="G72" i="2"/>
  <c r="F72" i="2"/>
  <c r="E72" i="2"/>
  <c r="O71" i="2"/>
  <c r="N71" i="2"/>
  <c r="M71" i="2"/>
  <c r="L71" i="2"/>
  <c r="K71" i="2"/>
  <c r="I71" i="2"/>
  <c r="H71" i="2"/>
  <c r="G71" i="2"/>
  <c r="F71" i="2"/>
  <c r="E71" i="2"/>
  <c r="O70" i="2"/>
  <c r="N70" i="2"/>
  <c r="M70" i="2"/>
  <c r="L70" i="2"/>
  <c r="K70" i="2"/>
  <c r="I70" i="2"/>
  <c r="H70" i="2"/>
  <c r="G70" i="2"/>
  <c r="F70" i="2"/>
  <c r="E70" i="2"/>
  <c r="O69" i="2"/>
  <c r="N69" i="2"/>
  <c r="M69" i="2"/>
  <c r="L69" i="2"/>
  <c r="K69" i="2"/>
  <c r="I69" i="2"/>
  <c r="H69" i="2"/>
  <c r="G69" i="2"/>
  <c r="F69" i="2"/>
  <c r="E69" i="2"/>
  <c r="O68" i="2"/>
  <c r="N68" i="2"/>
  <c r="M68" i="2"/>
  <c r="L68" i="2"/>
  <c r="K68" i="2"/>
  <c r="I68" i="2"/>
  <c r="H68" i="2"/>
  <c r="G68" i="2"/>
  <c r="F68" i="2"/>
  <c r="E68" i="2"/>
  <c r="O67" i="2"/>
  <c r="N67" i="2"/>
  <c r="M67" i="2"/>
  <c r="L67" i="2"/>
  <c r="K67" i="2"/>
  <c r="I67" i="2"/>
  <c r="H67" i="2"/>
  <c r="G67" i="2"/>
  <c r="F67" i="2"/>
  <c r="E67" i="2"/>
  <c r="O66" i="2"/>
  <c r="N66" i="2"/>
  <c r="M66" i="2"/>
  <c r="L66" i="2"/>
  <c r="K66" i="2"/>
  <c r="I66" i="2"/>
  <c r="H66" i="2"/>
  <c r="G66" i="2"/>
  <c r="F66" i="2"/>
  <c r="E66" i="2"/>
  <c r="O65" i="2"/>
  <c r="N65" i="2"/>
  <c r="M65" i="2"/>
  <c r="L65" i="2"/>
  <c r="K65" i="2"/>
  <c r="I65" i="2"/>
  <c r="H65" i="2"/>
  <c r="G65" i="2"/>
  <c r="F65" i="2"/>
  <c r="E65" i="2"/>
  <c r="O64" i="2"/>
  <c r="N64" i="2"/>
  <c r="M64" i="2"/>
  <c r="L64" i="2"/>
  <c r="K64" i="2"/>
  <c r="I64" i="2"/>
  <c r="H64" i="2"/>
  <c r="G64" i="2"/>
  <c r="F64" i="2"/>
  <c r="E64" i="2"/>
  <c r="O63" i="2"/>
  <c r="N63" i="2"/>
  <c r="M63" i="2"/>
  <c r="L63" i="2"/>
  <c r="K63" i="2"/>
  <c r="I63" i="2"/>
  <c r="H63" i="2"/>
  <c r="G63" i="2"/>
  <c r="F63" i="2"/>
  <c r="E63" i="2"/>
  <c r="O62" i="2"/>
  <c r="N62" i="2"/>
  <c r="M62" i="2"/>
  <c r="L62" i="2"/>
  <c r="K62" i="2"/>
  <c r="I62" i="2"/>
  <c r="H62" i="2"/>
  <c r="G62" i="2"/>
  <c r="F62" i="2"/>
  <c r="E62" i="2"/>
  <c r="O61" i="2"/>
  <c r="N61" i="2"/>
  <c r="M61" i="2"/>
  <c r="L61" i="2"/>
  <c r="K61" i="2"/>
  <c r="I61" i="2"/>
  <c r="H61" i="2"/>
  <c r="G61" i="2"/>
  <c r="F61" i="2"/>
  <c r="E61" i="2"/>
  <c r="O60" i="2"/>
  <c r="N60" i="2"/>
  <c r="M60" i="2"/>
  <c r="L60" i="2"/>
  <c r="K60" i="2"/>
  <c r="I60" i="2"/>
  <c r="H60" i="2"/>
  <c r="G60" i="2"/>
  <c r="F60" i="2"/>
  <c r="E60" i="2"/>
  <c r="O59" i="2"/>
  <c r="N59" i="2"/>
  <c r="M59" i="2"/>
  <c r="L59" i="2"/>
  <c r="K59" i="2"/>
  <c r="I59" i="2"/>
  <c r="H59" i="2"/>
  <c r="G59" i="2"/>
  <c r="F59" i="2"/>
  <c r="E59" i="2"/>
  <c r="O58" i="2"/>
  <c r="N58" i="2"/>
  <c r="M58" i="2"/>
  <c r="L58" i="2"/>
  <c r="K58" i="2"/>
  <c r="I58" i="2"/>
  <c r="H58" i="2"/>
  <c r="G58" i="2"/>
  <c r="F58" i="2"/>
  <c r="E58" i="2"/>
  <c r="O57" i="2"/>
  <c r="N57" i="2"/>
  <c r="M57" i="2"/>
  <c r="L57" i="2"/>
  <c r="K57" i="2"/>
  <c r="I57" i="2"/>
  <c r="H57" i="2"/>
  <c r="G57" i="2"/>
  <c r="F57" i="2"/>
  <c r="E57" i="2"/>
  <c r="O56" i="2"/>
  <c r="N56" i="2"/>
  <c r="M56" i="2"/>
  <c r="L56" i="2"/>
  <c r="K56" i="2"/>
  <c r="I56" i="2"/>
  <c r="H56" i="2"/>
  <c r="G56" i="2"/>
  <c r="F56" i="2"/>
  <c r="E56" i="2"/>
  <c r="O55" i="2"/>
  <c r="N55" i="2"/>
  <c r="M55" i="2"/>
  <c r="L55" i="2"/>
  <c r="K55" i="2"/>
  <c r="I55" i="2"/>
  <c r="H55" i="2"/>
  <c r="G55" i="2"/>
  <c r="F55" i="2"/>
  <c r="E55" i="2"/>
  <c r="O54" i="2"/>
  <c r="N54" i="2"/>
  <c r="M54" i="2"/>
  <c r="L54" i="2"/>
  <c r="K54" i="2"/>
  <c r="I54" i="2"/>
  <c r="H54" i="2"/>
  <c r="G54" i="2"/>
  <c r="F54" i="2"/>
  <c r="E54" i="2"/>
  <c r="O53" i="2"/>
  <c r="N53" i="2"/>
  <c r="M53" i="2"/>
  <c r="L53" i="2"/>
  <c r="K53" i="2"/>
  <c r="I53" i="2"/>
  <c r="H53" i="2"/>
  <c r="G53" i="2"/>
  <c r="F53" i="2"/>
  <c r="E53" i="2"/>
  <c r="O52" i="2"/>
  <c r="N52" i="2"/>
  <c r="M52" i="2"/>
  <c r="L52" i="2"/>
  <c r="K52" i="2"/>
  <c r="I52" i="2"/>
  <c r="H52" i="2"/>
  <c r="G52" i="2"/>
  <c r="F52" i="2"/>
  <c r="E52" i="2"/>
  <c r="O51" i="2"/>
  <c r="N51" i="2"/>
  <c r="M51" i="2"/>
  <c r="L51" i="2"/>
  <c r="K51" i="2"/>
  <c r="I51" i="2"/>
  <c r="H51" i="2"/>
  <c r="G51" i="2"/>
  <c r="F51" i="2"/>
  <c r="E51" i="2"/>
  <c r="O50" i="2"/>
  <c r="N50" i="2"/>
  <c r="M50" i="2"/>
  <c r="L50" i="2"/>
  <c r="K50" i="2"/>
  <c r="I50" i="2"/>
  <c r="H50" i="2"/>
  <c r="G50" i="2"/>
  <c r="F50" i="2"/>
  <c r="E50" i="2"/>
  <c r="O49" i="2"/>
  <c r="N49" i="2"/>
  <c r="M49" i="2"/>
  <c r="L49" i="2"/>
  <c r="K49" i="2"/>
  <c r="I49" i="2"/>
  <c r="H49" i="2"/>
  <c r="G49" i="2"/>
  <c r="F49" i="2"/>
  <c r="E49" i="2"/>
  <c r="O48" i="2"/>
  <c r="N48" i="2"/>
  <c r="M48" i="2"/>
  <c r="L48" i="2"/>
  <c r="K48" i="2"/>
  <c r="I48" i="2"/>
  <c r="H48" i="2"/>
  <c r="G48" i="2"/>
  <c r="F48" i="2"/>
  <c r="E48" i="2"/>
  <c r="O47" i="2"/>
  <c r="N47" i="2"/>
  <c r="M47" i="2"/>
  <c r="L47" i="2"/>
  <c r="K47" i="2"/>
  <c r="I47" i="2"/>
  <c r="H47" i="2"/>
  <c r="G47" i="2"/>
  <c r="F47" i="2"/>
  <c r="E47" i="2"/>
  <c r="O46" i="2"/>
  <c r="N46" i="2"/>
  <c r="M46" i="2"/>
  <c r="L46" i="2"/>
  <c r="K46" i="2"/>
  <c r="I46" i="2"/>
  <c r="H46" i="2"/>
  <c r="G46" i="2"/>
  <c r="F46" i="2"/>
  <c r="E46" i="2"/>
  <c r="O45" i="2"/>
  <c r="N45" i="2"/>
  <c r="M45" i="2"/>
  <c r="L45" i="2"/>
  <c r="K45" i="2"/>
  <c r="I45" i="2"/>
  <c r="H45" i="2"/>
  <c r="G45" i="2"/>
  <c r="F45" i="2"/>
  <c r="E45" i="2"/>
  <c r="L44" i="2"/>
  <c r="K44" i="2"/>
  <c r="AM2" i="1"/>
  <c r="E44" i="2"/>
  <c r="G44" i="2"/>
  <c r="H44" i="2"/>
  <c r="I44" i="2"/>
  <c r="M44" i="2"/>
  <c r="N44" i="2"/>
  <c r="O44" i="2"/>
  <c r="F44" i="2"/>
  <c r="D137" i="2" l="1"/>
  <c r="D157" i="2"/>
  <c r="D189" i="2"/>
  <c r="D449" i="2"/>
  <c r="D450" i="2"/>
  <c r="D451" i="2"/>
  <c r="D454" i="2"/>
  <c r="D455" i="2"/>
  <c r="D456" i="2"/>
  <c r="D457" i="2"/>
  <c r="D458" i="2"/>
  <c r="D7" i="2"/>
  <c r="D17" i="2"/>
  <c r="D37" i="2"/>
  <c r="D77" i="2"/>
  <c r="D97" i="2"/>
  <c r="D117" i="2"/>
  <c r="D209" i="2"/>
  <c r="D57" i="2"/>
  <c r="D229" i="2"/>
  <c r="D27" i="2"/>
  <c r="D249" i="2"/>
  <c r="D269" i="2"/>
  <c r="D289" i="2"/>
  <c r="D309" i="2"/>
  <c r="D329" i="2"/>
  <c r="D349" i="2"/>
  <c r="D369" i="2"/>
  <c r="D389" i="2"/>
  <c r="D409" i="2"/>
  <c r="D429" i="2"/>
  <c r="D18" i="2"/>
  <c r="D38" i="2"/>
  <c r="D58" i="2"/>
  <c r="D78" i="2"/>
  <c r="D98" i="2"/>
  <c r="D118" i="2"/>
  <c r="D138" i="2"/>
  <c r="D158" i="2"/>
  <c r="D190" i="2"/>
  <c r="D210" i="2"/>
  <c r="D230" i="2"/>
  <c r="D250" i="2"/>
  <c r="D270" i="2"/>
  <c r="D290" i="2"/>
  <c r="D310" i="2"/>
  <c r="D330" i="2"/>
  <c r="D350" i="2"/>
  <c r="D370" i="2"/>
  <c r="D390" i="2"/>
  <c r="D410" i="2"/>
  <c r="D430" i="2"/>
  <c r="D19" i="2"/>
  <c r="D39" i="2"/>
  <c r="D59" i="2"/>
  <c r="D79" i="2"/>
  <c r="D99" i="2"/>
  <c r="D119" i="2"/>
  <c r="D139" i="2"/>
  <c r="D159" i="2"/>
  <c r="D173" i="2"/>
  <c r="D191" i="2"/>
  <c r="D211" i="2"/>
  <c r="D231" i="2"/>
  <c r="D251" i="2"/>
  <c r="C271" i="2"/>
  <c r="D291" i="2"/>
  <c r="C311" i="2"/>
  <c r="D331" i="2"/>
  <c r="D351" i="2"/>
  <c r="D371" i="2"/>
  <c r="C391" i="2"/>
  <c r="D411" i="2"/>
  <c r="D431" i="2"/>
  <c r="D2" i="2"/>
  <c r="D22" i="2"/>
  <c r="C42" i="2"/>
  <c r="C62" i="2"/>
  <c r="C82" i="2"/>
  <c r="C102" i="2"/>
  <c r="C122" i="2"/>
  <c r="C142" i="2"/>
  <c r="D162" i="2"/>
  <c r="D194" i="2"/>
  <c r="C214" i="2"/>
  <c r="D234" i="2"/>
  <c r="D254" i="2"/>
  <c r="C274" i="2"/>
  <c r="D294" i="2"/>
  <c r="C314" i="2"/>
  <c r="C334" i="2"/>
  <c r="D354" i="2"/>
  <c r="C374" i="2"/>
  <c r="D394" i="2"/>
  <c r="D414" i="2"/>
  <c r="D434" i="2"/>
  <c r="D3" i="2"/>
  <c r="D23" i="2"/>
  <c r="D43" i="2"/>
  <c r="D63" i="2"/>
  <c r="D83" i="2"/>
  <c r="D103" i="2"/>
  <c r="D123" i="2"/>
  <c r="D143" i="2"/>
  <c r="D163" i="2"/>
  <c r="D195" i="2"/>
  <c r="D215" i="2"/>
  <c r="D235" i="2"/>
  <c r="D255" i="2"/>
  <c r="D275" i="2"/>
  <c r="D295" i="2"/>
  <c r="D315" i="2"/>
  <c r="D335" i="2"/>
  <c r="D355" i="2"/>
  <c r="D375" i="2"/>
  <c r="D395" i="2"/>
  <c r="D415" i="2"/>
  <c r="D435" i="2"/>
  <c r="D4" i="2"/>
  <c r="D24" i="2"/>
  <c r="D44" i="2"/>
  <c r="D64" i="2"/>
  <c r="D84" i="2"/>
  <c r="D104" i="2"/>
  <c r="D124" i="2"/>
  <c r="D144" i="2"/>
  <c r="D164" i="2"/>
  <c r="D176" i="2"/>
  <c r="D196" i="2"/>
  <c r="D216" i="2"/>
  <c r="D236" i="2"/>
  <c r="D256" i="2"/>
  <c r="D276" i="2"/>
  <c r="D296" i="2"/>
  <c r="D316" i="2"/>
  <c r="D336" i="2"/>
  <c r="D356" i="2"/>
  <c r="D376" i="2"/>
  <c r="D396" i="2"/>
  <c r="D416" i="2"/>
  <c r="D436" i="2"/>
  <c r="D5" i="2"/>
  <c r="D25" i="2"/>
  <c r="D45" i="2"/>
  <c r="D65" i="2"/>
  <c r="D85" i="2"/>
  <c r="D105" i="2"/>
  <c r="D125" i="2"/>
  <c r="D145" i="2"/>
  <c r="D165" i="2"/>
  <c r="D177" i="2"/>
  <c r="D197" i="2"/>
  <c r="D217" i="2"/>
  <c r="D237" i="2"/>
  <c r="D257" i="2"/>
  <c r="D277" i="2"/>
  <c r="D297" i="2"/>
  <c r="D317" i="2"/>
  <c r="D337" i="2"/>
  <c r="D357" i="2"/>
  <c r="D377" i="2"/>
  <c r="D397" i="2"/>
  <c r="D417" i="2"/>
  <c r="D437" i="2"/>
  <c r="D6" i="2"/>
  <c r="D26" i="2"/>
  <c r="D46" i="2"/>
  <c r="D66" i="2"/>
  <c r="D86" i="2"/>
  <c r="D106" i="2"/>
  <c r="D126" i="2"/>
  <c r="D146" i="2"/>
  <c r="D166" i="2"/>
  <c r="D178" i="2"/>
  <c r="D198" i="2"/>
  <c r="D218" i="2"/>
  <c r="D238" i="2"/>
  <c r="D258" i="2"/>
  <c r="D278" i="2"/>
  <c r="D298" i="2"/>
  <c r="D318" i="2"/>
  <c r="D338" i="2"/>
  <c r="D358" i="2"/>
  <c r="D378" i="2"/>
  <c r="D398" i="2"/>
  <c r="D418" i="2"/>
  <c r="D438" i="2"/>
  <c r="D47" i="2"/>
  <c r="C12" i="2"/>
  <c r="C32" i="2"/>
  <c r="C52" i="2"/>
  <c r="C72" i="2"/>
  <c r="C92" i="2"/>
  <c r="C112" i="2"/>
  <c r="C132" i="2"/>
  <c r="C152" i="2"/>
  <c r="D184" i="2"/>
  <c r="C204" i="2"/>
  <c r="D224" i="2"/>
  <c r="C244" i="2"/>
  <c r="C264" i="2"/>
  <c r="C284" i="2"/>
  <c r="C304" i="2"/>
  <c r="D324" i="2"/>
  <c r="C344" i="2"/>
  <c r="C364" i="2"/>
  <c r="D384" i="2"/>
  <c r="D404" i="2"/>
  <c r="D424" i="2"/>
  <c r="C444" i="2"/>
  <c r="D13" i="2"/>
  <c r="D33" i="2"/>
  <c r="D53" i="2"/>
  <c r="D73" i="2"/>
  <c r="D93" i="2"/>
  <c r="D113" i="2"/>
  <c r="D133" i="2"/>
  <c r="D153" i="2"/>
  <c r="D185" i="2"/>
  <c r="D205" i="2"/>
  <c r="D225" i="2"/>
  <c r="D245" i="2"/>
  <c r="D265" i="2"/>
  <c r="D285" i="2"/>
  <c r="D305" i="2"/>
  <c r="D325" i="2"/>
  <c r="D345" i="2"/>
  <c r="D365" i="2"/>
  <c r="D385" i="2"/>
  <c r="D405" i="2"/>
  <c r="D425" i="2"/>
  <c r="D445" i="2"/>
  <c r="D14" i="2"/>
  <c r="D34" i="2"/>
  <c r="D54" i="2"/>
  <c r="D74" i="2"/>
  <c r="D94" i="2"/>
  <c r="D114" i="2"/>
  <c r="D134" i="2"/>
  <c r="D154" i="2"/>
  <c r="D170" i="2"/>
  <c r="D186" i="2"/>
  <c r="D206" i="2"/>
  <c r="D226" i="2"/>
  <c r="D246" i="2"/>
  <c r="D266" i="2"/>
  <c r="D286" i="2"/>
  <c r="D306" i="2"/>
  <c r="D326" i="2"/>
  <c r="D346" i="2"/>
  <c r="D366" i="2"/>
  <c r="D386" i="2"/>
  <c r="D406" i="2"/>
  <c r="D426" i="2"/>
  <c r="D446" i="2"/>
  <c r="D15" i="2"/>
  <c r="D35" i="2"/>
  <c r="D55" i="2"/>
  <c r="D75" i="2"/>
  <c r="D95" i="2"/>
  <c r="D115" i="2"/>
  <c r="D135" i="2"/>
  <c r="D155" i="2"/>
  <c r="D171" i="2"/>
  <c r="D187" i="2"/>
  <c r="D207" i="2"/>
  <c r="D227" i="2"/>
  <c r="D247" i="2"/>
  <c r="D267" i="2"/>
  <c r="D287" i="2"/>
  <c r="D307" i="2"/>
  <c r="D327" i="2"/>
  <c r="D347" i="2"/>
  <c r="D367" i="2"/>
  <c r="D387" i="2"/>
  <c r="D407" i="2"/>
  <c r="D427" i="2"/>
  <c r="D447" i="2"/>
  <c r="D467" i="2"/>
  <c r="D16" i="2"/>
  <c r="D36" i="2"/>
  <c r="D56" i="2"/>
  <c r="D76" i="2"/>
  <c r="D96" i="2"/>
  <c r="D116" i="2"/>
  <c r="D136" i="2"/>
  <c r="D156" i="2"/>
  <c r="D172" i="2"/>
  <c r="D188" i="2"/>
  <c r="D208" i="2"/>
  <c r="D228" i="2"/>
  <c r="D248" i="2"/>
  <c r="D268" i="2"/>
  <c r="D288" i="2"/>
  <c r="D308" i="2"/>
  <c r="D328" i="2"/>
  <c r="D348" i="2"/>
  <c r="D368" i="2"/>
  <c r="D388" i="2"/>
  <c r="D408" i="2"/>
  <c r="D428" i="2"/>
  <c r="D448" i="2"/>
  <c r="D468" i="2"/>
  <c r="D469" i="2"/>
  <c r="D470" i="2"/>
  <c r="C471" i="2"/>
  <c r="C20" i="2"/>
  <c r="D40" i="2"/>
  <c r="D60" i="2"/>
  <c r="C80" i="2"/>
  <c r="C100" i="2"/>
  <c r="D120" i="2"/>
  <c r="D140" i="2"/>
  <c r="D160" i="2"/>
  <c r="D174" i="2"/>
  <c r="D192" i="2"/>
  <c r="D212" i="2"/>
  <c r="C232" i="2"/>
  <c r="D252" i="2"/>
  <c r="D272" i="2"/>
  <c r="D292" i="2"/>
  <c r="D312" i="2"/>
  <c r="D332" i="2"/>
  <c r="C352" i="2"/>
  <c r="D372" i="2"/>
  <c r="C392" i="2"/>
  <c r="D412" i="2"/>
  <c r="C432" i="2"/>
  <c r="C452" i="2"/>
  <c r="C472" i="2"/>
  <c r="C21" i="2"/>
  <c r="C41" i="2"/>
  <c r="D61" i="2"/>
  <c r="D81" i="2"/>
  <c r="D101" i="2"/>
  <c r="D121" i="2"/>
  <c r="D141" i="2"/>
  <c r="C161" i="2"/>
  <c r="D175" i="2"/>
  <c r="C193" i="2"/>
  <c r="D213" i="2"/>
  <c r="D233" i="2"/>
  <c r="D253" i="2"/>
  <c r="D273" i="2"/>
  <c r="D293" i="2"/>
  <c r="C313" i="2"/>
  <c r="D333" i="2"/>
  <c r="C353" i="2"/>
  <c r="D373" i="2"/>
  <c r="D393" i="2"/>
  <c r="D413" i="2"/>
  <c r="D433" i="2"/>
  <c r="D453" i="2"/>
  <c r="D473" i="2"/>
  <c r="D474" i="2"/>
  <c r="D475" i="2"/>
  <c r="D476" i="2"/>
  <c r="D477" i="2"/>
  <c r="D478" i="2"/>
  <c r="D479" i="2"/>
  <c r="D480" i="2"/>
  <c r="D461" i="2"/>
  <c r="D382" i="2"/>
  <c r="D67" i="2"/>
  <c r="D87" i="2"/>
  <c r="D107" i="2"/>
  <c r="D127" i="2"/>
  <c r="D147" i="2"/>
  <c r="D179" i="2"/>
  <c r="D199" i="2"/>
  <c r="D219" i="2"/>
  <c r="D239" i="2"/>
  <c r="D259" i="2"/>
  <c r="D279" i="2"/>
  <c r="D299" i="2"/>
  <c r="D319" i="2"/>
  <c r="D339" i="2"/>
  <c r="D359" i="2"/>
  <c r="D379" i="2"/>
  <c r="D399" i="2"/>
  <c r="D419" i="2"/>
  <c r="D439" i="2"/>
  <c r="D459" i="2"/>
  <c r="D8" i="2"/>
  <c r="D28" i="2"/>
  <c r="D48" i="2"/>
  <c r="D68" i="2"/>
  <c r="D88" i="2"/>
  <c r="D108" i="2"/>
  <c r="D128" i="2"/>
  <c r="D148" i="2"/>
  <c r="D180" i="2"/>
  <c r="D200" i="2"/>
  <c r="D220" i="2"/>
  <c r="D240" i="2"/>
  <c r="D260" i="2"/>
  <c r="D280" i="2"/>
  <c r="D300" i="2"/>
  <c r="D320" i="2"/>
  <c r="D340" i="2"/>
  <c r="D360" i="2"/>
  <c r="D380" i="2"/>
  <c r="D400" i="2"/>
  <c r="D420" i="2"/>
  <c r="D440" i="2"/>
  <c r="D460" i="2"/>
  <c r="D9" i="2"/>
  <c r="D29" i="2"/>
  <c r="D49" i="2"/>
  <c r="D69" i="2"/>
  <c r="C89" i="2"/>
  <c r="C109" i="2"/>
  <c r="D129" i="2"/>
  <c r="D149" i="2"/>
  <c r="D167" i="2"/>
  <c r="D181" i="2"/>
  <c r="D201" i="2"/>
  <c r="D221" i="2"/>
  <c r="C241" i="2"/>
  <c r="D261" i="2"/>
  <c r="D281" i="2"/>
  <c r="D301" i="2"/>
  <c r="D321" i="2"/>
  <c r="D341" i="2"/>
  <c r="C361" i="2"/>
  <c r="C381" i="2"/>
  <c r="D401" i="2"/>
  <c r="D421" i="2"/>
  <c r="D441" i="2"/>
  <c r="D10" i="2"/>
  <c r="D30" i="2"/>
  <c r="D50" i="2"/>
  <c r="D70" i="2"/>
  <c r="D90" i="2"/>
  <c r="D110" i="2"/>
  <c r="D130" i="2"/>
  <c r="D150" i="2"/>
  <c r="D168" i="2"/>
  <c r="D182" i="2"/>
  <c r="D202" i="2"/>
  <c r="D222" i="2"/>
  <c r="D242" i="2"/>
  <c r="D262" i="2"/>
  <c r="D282" i="2"/>
  <c r="D302" i="2"/>
  <c r="D362" i="2"/>
  <c r="C464" i="2"/>
  <c r="D465" i="2"/>
  <c r="D466" i="2"/>
  <c r="C231" i="2"/>
  <c r="D232" i="2"/>
  <c r="D271" i="2"/>
  <c r="C272" i="2"/>
  <c r="D311" i="2"/>
  <c r="C312" i="2"/>
  <c r="C315" i="2"/>
  <c r="C332" i="2"/>
  <c r="D334" i="2"/>
  <c r="C144" i="2"/>
  <c r="C335" i="2"/>
  <c r="C159" i="2"/>
  <c r="C372" i="2"/>
  <c r="C160" i="2"/>
  <c r="D392" i="2"/>
  <c r="D432" i="2"/>
  <c r="C435" i="2"/>
  <c r="C176" i="2"/>
  <c r="C451" i="2"/>
  <c r="C191" i="2"/>
  <c r="C216" i="2"/>
  <c r="D452" i="2"/>
  <c r="C413" i="2"/>
  <c r="C414" i="2"/>
  <c r="D214" i="2"/>
  <c r="C275" i="2"/>
  <c r="C354" i="2"/>
  <c r="D274" i="2"/>
  <c r="D353" i="2"/>
  <c r="C215" i="2"/>
  <c r="C293" i="2"/>
  <c r="C415" i="2"/>
  <c r="C433" i="2"/>
  <c r="D193" i="2"/>
  <c r="C163" i="2"/>
  <c r="C296" i="2"/>
  <c r="D374" i="2"/>
  <c r="C373" i="2"/>
  <c r="C162" i="2"/>
  <c r="C295" i="2"/>
  <c r="C168" i="2"/>
  <c r="C233" i="2"/>
  <c r="C375" i="2"/>
  <c r="D161" i="2"/>
  <c r="C294" i="2"/>
  <c r="D381" i="2"/>
  <c r="C234" i="2"/>
  <c r="C382" i="2"/>
  <c r="C453" i="2"/>
  <c r="C454" i="2"/>
  <c r="C2" i="2"/>
  <c r="C255" i="2"/>
  <c r="C395" i="2"/>
  <c r="C3" i="2"/>
  <c r="C256" i="2"/>
  <c r="C411" i="2"/>
  <c r="C455" i="2"/>
  <c r="C393" i="2"/>
  <c r="C139" i="2"/>
  <c r="C192" i="2"/>
  <c r="C261" i="2"/>
  <c r="C333" i="2"/>
  <c r="D472" i="2"/>
  <c r="C194" i="2"/>
  <c r="D314" i="2"/>
  <c r="D142" i="2"/>
  <c r="C262" i="2"/>
  <c r="C412" i="2"/>
  <c r="C473" i="2"/>
  <c r="C254" i="2"/>
  <c r="C143" i="2"/>
  <c r="C475" i="2"/>
  <c r="D109" i="2"/>
  <c r="C110" i="2"/>
  <c r="C49" i="2"/>
  <c r="C50" i="2"/>
  <c r="C79" i="2"/>
  <c r="D82" i="2"/>
  <c r="C83" i="2"/>
  <c r="C119" i="2"/>
  <c r="C40" i="2"/>
  <c r="D41" i="2"/>
  <c r="D100" i="2"/>
  <c r="D42" i="2"/>
  <c r="C104" i="2"/>
  <c r="C60" i="2"/>
  <c r="C120" i="2"/>
  <c r="D62" i="2"/>
  <c r="C64" i="2"/>
  <c r="C121" i="2"/>
  <c r="D80" i="2"/>
  <c r="C123" i="2"/>
  <c r="C81" i="2"/>
  <c r="C43" i="2"/>
  <c r="D122" i="2"/>
  <c r="D21" i="2"/>
  <c r="D102" i="2"/>
  <c r="C22" i="2"/>
  <c r="C19" i="2"/>
  <c r="C351" i="2"/>
  <c r="C44" i="2"/>
  <c r="C456" i="2"/>
  <c r="C84" i="2"/>
  <c r="C273" i="2"/>
  <c r="C431" i="2"/>
  <c r="D20" i="2"/>
  <c r="C59" i="2"/>
  <c r="C99" i="2"/>
  <c r="D313" i="2"/>
  <c r="D352" i="2"/>
  <c r="D391" i="2"/>
  <c r="D471" i="2"/>
  <c r="C4" i="2"/>
  <c r="C336" i="2"/>
  <c r="C376" i="2"/>
  <c r="C416" i="2"/>
  <c r="C124" i="2"/>
  <c r="C164" i="2"/>
  <c r="C195" i="2"/>
  <c r="C235" i="2"/>
  <c r="C173" i="2"/>
  <c r="C211" i="2"/>
  <c r="C251" i="2"/>
  <c r="C61" i="2"/>
  <c r="C101" i="2"/>
  <c r="C140" i="2"/>
  <c r="C276" i="2"/>
  <c r="C316" i="2"/>
  <c r="C23" i="2"/>
  <c r="C174" i="2"/>
  <c r="C212" i="2"/>
  <c r="C252" i="2"/>
  <c r="C291" i="2"/>
  <c r="C321" i="2"/>
  <c r="C355" i="2"/>
  <c r="C394" i="2"/>
  <c r="C434" i="2"/>
  <c r="C474" i="2"/>
  <c r="C196" i="2"/>
  <c r="C24" i="2"/>
  <c r="C141" i="2"/>
  <c r="C356" i="2"/>
  <c r="C39" i="2"/>
  <c r="C175" i="2"/>
  <c r="C213" i="2"/>
  <c r="C253" i="2"/>
  <c r="C292" i="2"/>
  <c r="C331" i="2"/>
  <c r="C371" i="2"/>
  <c r="C236" i="2"/>
  <c r="C63" i="2"/>
  <c r="C103" i="2"/>
  <c r="C396" i="2"/>
  <c r="C436" i="2"/>
  <c r="C476" i="2"/>
  <c r="C421" i="2"/>
  <c r="C402" i="2"/>
  <c r="D402" i="2"/>
  <c r="C149" i="2"/>
  <c r="D363" i="2"/>
  <c r="C363" i="2"/>
  <c r="C29" i="2"/>
  <c r="D89" i="2"/>
  <c r="C150" i="2"/>
  <c r="C90" i="2"/>
  <c r="C362" i="2"/>
  <c r="C461" i="2"/>
  <c r="C30" i="2"/>
  <c r="C301" i="2"/>
  <c r="D11" i="2"/>
  <c r="C11" i="2"/>
  <c r="D111" i="2"/>
  <c r="C111" i="2"/>
  <c r="D151" i="2"/>
  <c r="C151" i="2"/>
  <c r="D223" i="2"/>
  <c r="C223" i="2"/>
  <c r="D263" i="2"/>
  <c r="C263" i="2"/>
  <c r="D343" i="2"/>
  <c r="C343" i="2"/>
  <c r="D463" i="2"/>
  <c r="C463" i="2"/>
  <c r="C181" i="2"/>
  <c r="D241" i="2"/>
  <c r="C302" i="2"/>
  <c r="D322" i="2"/>
  <c r="C322" i="2"/>
  <c r="D442" i="2"/>
  <c r="C442" i="2"/>
  <c r="D91" i="2"/>
  <c r="C91" i="2"/>
  <c r="D169" i="2"/>
  <c r="C169" i="2"/>
  <c r="D283" i="2"/>
  <c r="C283" i="2"/>
  <c r="D423" i="2"/>
  <c r="C423" i="2"/>
  <c r="C129" i="2"/>
  <c r="C242" i="2"/>
  <c r="C401" i="2"/>
  <c r="C69" i="2"/>
  <c r="C182" i="2"/>
  <c r="C201" i="2"/>
  <c r="C202" i="2"/>
  <c r="D361" i="2"/>
  <c r="C9" i="2"/>
  <c r="C130" i="2"/>
  <c r="C341" i="2"/>
  <c r="C70" i="2"/>
  <c r="C10" i="2"/>
  <c r="C281" i="2"/>
  <c r="C441" i="2"/>
  <c r="D422" i="2"/>
  <c r="C422" i="2"/>
  <c r="D51" i="2"/>
  <c r="C51" i="2"/>
  <c r="D131" i="2"/>
  <c r="C131" i="2"/>
  <c r="D243" i="2"/>
  <c r="C243" i="2"/>
  <c r="D323" i="2"/>
  <c r="C323" i="2"/>
  <c r="D403" i="2"/>
  <c r="C403" i="2"/>
  <c r="C221" i="2"/>
  <c r="D342" i="2"/>
  <c r="C342" i="2"/>
  <c r="C462" i="2"/>
  <c r="D462" i="2"/>
  <c r="D31" i="2"/>
  <c r="C31" i="2"/>
  <c r="D183" i="2"/>
  <c r="C183" i="2"/>
  <c r="D383" i="2"/>
  <c r="C383" i="2"/>
  <c r="C167" i="2"/>
  <c r="C282" i="2"/>
  <c r="D71" i="2"/>
  <c r="C71" i="2"/>
  <c r="D203" i="2"/>
  <c r="C203" i="2"/>
  <c r="D303" i="2"/>
  <c r="C303" i="2"/>
  <c r="D443" i="2"/>
  <c r="C443" i="2"/>
  <c r="C222" i="2"/>
  <c r="D12" i="2"/>
  <c r="D52" i="2"/>
  <c r="D92" i="2"/>
  <c r="D132" i="2"/>
  <c r="D204" i="2"/>
  <c r="D244" i="2"/>
  <c r="D284" i="2"/>
  <c r="D304" i="2"/>
  <c r="D344" i="2"/>
  <c r="D364" i="2"/>
  <c r="D464" i="2"/>
  <c r="C13" i="2"/>
  <c r="C33" i="2"/>
  <c r="C53" i="2"/>
  <c r="C73" i="2"/>
  <c r="C93" i="2"/>
  <c r="C113" i="2"/>
  <c r="C133" i="2"/>
  <c r="C153" i="2"/>
  <c r="C185" i="2"/>
  <c r="C205" i="2"/>
  <c r="C225" i="2"/>
  <c r="C245" i="2"/>
  <c r="C265" i="2"/>
  <c r="C285" i="2"/>
  <c r="C305" i="2"/>
  <c r="C325" i="2"/>
  <c r="C345" i="2"/>
  <c r="C365" i="2"/>
  <c r="C385" i="2"/>
  <c r="C405" i="2"/>
  <c r="C425" i="2"/>
  <c r="C445" i="2"/>
  <c r="C465" i="2"/>
  <c r="C184" i="2"/>
  <c r="C224" i="2"/>
  <c r="C324" i="2"/>
  <c r="C384" i="2"/>
  <c r="C404" i="2"/>
  <c r="C424" i="2"/>
  <c r="D32" i="2"/>
  <c r="D72" i="2"/>
  <c r="D112" i="2"/>
  <c r="D152" i="2"/>
  <c r="D264" i="2"/>
  <c r="D444" i="2"/>
  <c r="C14" i="2"/>
  <c r="C34" i="2"/>
  <c r="C54" i="2"/>
  <c r="C74" i="2"/>
  <c r="C94" i="2"/>
  <c r="C114" i="2"/>
  <c r="C134" i="2"/>
  <c r="C154" i="2"/>
  <c r="C170" i="2"/>
  <c r="C186" i="2"/>
  <c r="C206" i="2"/>
  <c r="C226" i="2"/>
  <c r="C246" i="2"/>
  <c r="C266" i="2"/>
  <c r="C286" i="2"/>
  <c r="C306" i="2"/>
  <c r="C326" i="2"/>
  <c r="C346" i="2"/>
  <c r="C366" i="2"/>
  <c r="C386" i="2"/>
  <c r="C406" i="2"/>
  <c r="C426" i="2"/>
  <c r="C446" i="2"/>
  <c r="C466" i="2"/>
  <c r="C5" i="2"/>
  <c r="C15" i="2"/>
  <c r="C25" i="2"/>
  <c r="C35" i="2"/>
  <c r="C45" i="2"/>
  <c r="C55" i="2"/>
  <c r="C65" i="2"/>
  <c r="C75" i="2"/>
  <c r="C85" i="2"/>
  <c r="C95" i="2"/>
  <c r="C105" i="2"/>
  <c r="C115" i="2"/>
  <c r="C125" i="2"/>
  <c r="C135" i="2"/>
  <c r="C145" i="2"/>
  <c r="C155" i="2"/>
  <c r="C165" i="2"/>
  <c r="C171" i="2"/>
  <c r="C177" i="2"/>
  <c r="C187" i="2"/>
  <c r="C197" i="2"/>
  <c r="C207" i="2"/>
  <c r="C217" i="2"/>
  <c r="C227" i="2"/>
  <c r="C237" i="2"/>
  <c r="C247" i="2"/>
  <c r="C257" i="2"/>
  <c r="C267" i="2"/>
  <c r="C277" i="2"/>
  <c r="C287" i="2"/>
  <c r="C297" i="2"/>
  <c r="C307" i="2"/>
  <c r="C317" i="2"/>
  <c r="C327" i="2"/>
  <c r="C337" i="2"/>
  <c r="C347" i="2"/>
  <c r="C357" i="2"/>
  <c r="C367" i="2"/>
  <c r="C377" i="2"/>
  <c r="C387" i="2"/>
  <c r="C397" i="2"/>
  <c r="C407" i="2"/>
  <c r="C417" i="2"/>
  <c r="C427" i="2"/>
  <c r="C437" i="2"/>
  <c r="C447" i="2"/>
  <c r="C457" i="2"/>
  <c r="C467" i="2"/>
  <c r="C477" i="2"/>
  <c r="C6" i="2"/>
  <c r="C16" i="2"/>
  <c r="C26" i="2"/>
  <c r="C36" i="2"/>
  <c r="C46" i="2"/>
  <c r="C56" i="2"/>
  <c r="C66" i="2"/>
  <c r="C76" i="2"/>
  <c r="C86" i="2"/>
  <c r="C96" i="2"/>
  <c r="C106" i="2"/>
  <c r="C116" i="2"/>
  <c r="C126" i="2"/>
  <c r="C136" i="2"/>
  <c r="C146" i="2"/>
  <c r="C156" i="2"/>
  <c r="C166" i="2"/>
  <c r="C172" i="2"/>
  <c r="C178" i="2"/>
  <c r="C188" i="2"/>
  <c r="C198" i="2"/>
  <c r="C208" i="2"/>
  <c r="C218" i="2"/>
  <c r="C228" i="2"/>
  <c r="C238" i="2"/>
  <c r="C248" i="2"/>
  <c r="C258" i="2"/>
  <c r="C268" i="2"/>
  <c r="C278" i="2"/>
  <c r="C288" i="2"/>
  <c r="C298" i="2"/>
  <c r="C308" i="2"/>
  <c r="C318" i="2"/>
  <c r="C328" i="2"/>
  <c r="C338" i="2"/>
  <c r="C348" i="2"/>
  <c r="C358" i="2"/>
  <c r="C368" i="2"/>
  <c r="C378" i="2"/>
  <c r="C388" i="2"/>
  <c r="C398" i="2"/>
  <c r="C408" i="2"/>
  <c r="C418" i="2"/>
  <c r="C428" i="2"/>
  <c r="C438" i="2"/>
  <c r="C448" i="2"/>
  <c r="C458" i="2"/>
  <c r="C468" i="2"/>
  <c r="C478" i="2"/>
  <c r="C7" i="2"/>
  <c r="C17" i="2"/>
  <c r="C27" i="2"/>
  <c r="C37" i="2"/>
  <c r="C47" i="2"/>
  <c r="C57" i="2"/>
  <c r="C67" i="2"/>
  <c r="C77" i="2"/>
  <c r="C87" i="2"/>
  <c r="C97" i="2"/>
  <c r="C107" i="2"/>
  <c r="C117" i="2"/>
  <c r="C127" i="2"/>
  <c r="C137" i="2"/>
  <c r="C147" i="2"/>
  <c r="C157" i="2"/>
  <c r="C179" i="2"/>
  <c r="C189" i="2"/>
  <c r="C199" i="2"/>
  <c r="C209" i="2"/>
  <c r="C219" i="2"/>
  <c r="C229" i="2"/>
  <c r="C239" i="2"/>
  <c r="C249" i="2"/>
  <c r="C259" i="2"/>
  <c r="C269" i="2"/>
  <c r="C279" i="2"/>
  <c r="C289" i="2"/>
  <c r="C299" i="2"/>
  <c r="C309" i="2"/>
  <c r="C319" i="2"/>
  <c r="C329" i="2"/>
  <c r="C339" i="2"/>
  <c r="C349" i="2"/>
  <c r="C359" i="2"/>
  <c r="C369" i="2"/>
  <c r="C379" i="2"/>
  <c r="C389" i="2"/>
  <c r="C399" i="2"/>
  <c r="C409" i="2"/>
  <c r="C419" i="2"/>
  <c r="C429" i="2"/>
  <c r="C439" i="2"/>
  <c r="C449" i="2"/>
  <c r="C459" i="2"/>
  <c r="C469" i="2"/>
  <c r="C479" i="2"/>
  <c r="C8" i="2"/>
  <c r="C18" i="2"/>
  <c r="C28" i="2"/>
  <c r="C38" i="2"/>
  <c r="C48" i="2"/>
  <c r="C58" i="2"/>
  <c r="C68" i="2"/>
  <c r="C78" i="2"/>
  <c r="C88" i="2"/>
  <c r="C98" i="2"/>
  <c r="C108" i="2"/>
  <c r="C118" i="2"/>
  <c r="C128" i="2"/>
  <c r="C138" i="2"/>
  <c r="C148" i="2"/>
  <c r="C158" i="2"/>
  <c r="C180" i="2"/>
  <c r="C190" i="2"/>
  <c r="C200" i="2"/>
  <c r="C210" i="2"/>
  <c r="C220" i="2"/>
  <c r="C230" i="2"/>
  <c r="C240" i="2"/>
  <c r="C250" i="2"/>
  <c r="C260" i="2"/>
  <c r="C270" i="2"/>
  <c r="C280" i="2"/>
  <c r="C290" i="2"/>
  <c r="C300" i="2"/>
  <c r="C310" i="2"/>
  <c r="C320" i="2"/>
  <c r="C330" i="2"/>
  <c r="C340" i="2"/>
  <c r="C350" i="2"/>
  <c r="C360" i="2"/>
  <c r="C370" i="2"/>
  <c r="C380" i="2"/>
  <c r="C390" i="2"/>
  <c r="C400" i="2"/>
  <c r="C410" i="2"/>
  <c r="C420" i="2"/>
  <c r="C430" i="2"/>
  <c r="C440" i="2"/>
  <c r="C450" i="2"/>
  <c r="C460" i="2"/>
  <c r="C470" i="2"/>
  <c r="C48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6E3692-E70D-408E-A8D1-1AD2715070B5}" keepAlive="1" name="Query - all_data" description="Connection to the 'all_data' query in the workbook." type="5" refreshedVersion="0" background="1">
    <dbPr connection="Provider=Microsoft.Mashup.OleDb.1;Data Source=$Workbook$;Location=all_data;Extended Properties=&quot;&quot;" command="SELECT * FROM [all_data]"/>
  </connection>
  <connection id="2" xr16:uid="{73DC262F-C4E3-4A80-9BB9-851FF36C3097}" keepAlive="1" name="Query - cl_type" description="Connection to the 'cl_type' query in the workbook." type="5" refreshedVersion="8" background="1" saveData="1">
    <dbPr connection="Provider=Microsoft.Mashup.OleDb.1;Data Source=$Workbook$;Location=cl_type;Extended Properties=&quot;&quot;" command="SELECT * FROM [cl_type]"/>
  </connection>
  <connection id="3" xr16:uid="{BF87C551-F77E-45D8-A807-A303F56CBDC5}" keepAlive="1" name="Query - cv_ratios" description="Connection to the 'cv_ratios' query in the workbook." type="5" refreshedVersion="8" background="1" saveData="1">
    <dbPr connection="Provider=Microsoft.Mashup.OleDb.1;Data Source=$Workbook$;Location=cv_ratios;Extended Properties=&quot;&quot;" command="SELECT * FROM [cv_ratios]"/>
  </connection>
  <connection id="4" xr16:uid="{F7082FE6-72E9-4E61-A097-5F3906E15D47}" keepAlive="1" name="Query - initialization" description="Connection to the 'initialization' query in the workbook." type="5" refreshedVersion="8" background="1" saveData="1">
    <dbPr connection="Provider=Microsoft.Mashup.OleDb.1;Data Source=$Workbook$;Location=initialization;Extended Properties=&quot;&quot;" command="SELECT * FROM [initialization]"/>
  </connection>
  <connection id="5" xr16:uid="{CE0B19B5-754D-4B8C-BDDD-7E0A6B7D1349}" keepAlive="1" name="Query - initialization_2" description="Connection to the 'initialization_2' query in the workbook." type="5" refreshedVersion="8" background="1" saveData="1">
    <dbPr connection="Provider=Microsoft.Mashup.OleDb.1;Data Source=$Workbook$;Location=initialization_2;Extended Properties=&quot;&quot;" command="SELECT * FROM [initialization_2]"/>
  </connection>
  <connection id="6" xr16:uid="{E1C359DE-151C-4BCD-9470-83FB2D73776A}" keepAlive="1" name="Query - loss_type" description="Connection to the 'loss_type' query in the workbook." type="5" refreshedVersion="8" background="1" saveData="1">
    <dbPr connection="Provider=Microsoft.Mashup.OleDb.1;Data Source=$Workbook$;Location=loss_type;Extended Properties=&quot;&quot;" command="SELECT * FROM [loss_type]"/>
  </connection>
  <connection id="7" xr16:uid="{8E9B1A15-4295-4D99-8612-77E721025CCB}" keepAlive="1" name="Query - loss_type_2" description="Connection to the 'loss_type_2' query in the workbook." type="5" refreshedVersion="8" background="1" saveData="1">
    <dbPr connection="Provider=Microsoft.Mashup.OleDb.1;Data Source=$Workbook$;Location=loss_type_2;Extended Properties=&quot;&quot;" command="SELECT * FROM [loss_type_2]"/>
  </connection>
  <connection id="8" xr16:uid="{9C914392-B915-4C38-B088-A715F6F9D3EF}" keepAlive="1" name="Query - sampling_gs" description="Connection to the 'sampling_gs' query in the workbook." type="5" refreshedVersion="8" background="1" saveData="1">
    <dbPr connection="Provider=Microsoft.Mashup.OleDb.1;Data Source=$Workbook$;Location=sampling_gs;Extended Properties=&quot;&quot;" command="SELECT * FROM [sampling_gs]"/>
  </connection>
  <connection id="9" xr16:uid="{9BC75822-0984-4124-8380-7BE33315ECC8}" keepAlive="1" name="Query - sampling_gs_2" description="Connection to the 'sampling_gs_2' query in the workbook." type="5" refreshedVersion="8" background="1" saveData="1">
    <dbPr connection="Provider=Microsoft.Mashup.OleDb.1;Data Source=$Workbook$;Location=sampling_gs_2;Extended Properties=&quot;&quot;" command="SELECT * FROM [sampling_gs_2]"/>
  </connection>
</connections>
</file>

<file path=xl/sharedStrings.xml><?xml version="1.0" encoding="utf-8"?>
<sst xmlns="http://schemas.openxmlformats.org/spreadsheetml/2006/main" count="2794" uniqueCount="118">
  <si>
    <t>num_runs</t>
  </si>
  <si>
    <t>best_run_max</t>
  </si>
  <si>
    <t>best_run_last</t>
  </si>
  <si>
    <t>best_it_max</t>
  </si>
  <si>
    <t>best_it_last</t>
  </si>
  <si>
    <t>best_acc_train_max</t>
  </si>
  <si>
    <t>best_acc_train_last</t>
  </si>
  <si>
    <t>best_acc_val_max</t>
  </si>
  <si>
    <t>best_acc_val_last</t>
  </si>
  <si>
    <t>avg_acc_train_max</t>
  </si>
  <si>
    <t>avg_acc_train_last</t>
  </si>
  <si>
    <t>avg_acc_val_max</t>
  </si>
  <si>
    <t>avg_acc_val_last</t>
  </si>
  <si>
    <t>num_iters</t>
  </si>
  <si>
    <t>with_cv</t>
  </si>
  <si>
    <t>with_val</t>
  </si>
  <si>
    <t>nqubits</t>
  </si>
  <si>
    <t>with_bias</t>
  </si>
  <si>
    <t>optimizer</t>
  </si>
  <si>
    <t>loss_type</t>
  </si>
  <si>
    <t>batch_size</t>
  </si>
  <si>
    <t>train_size</t>
  </si>
  <si>
    <t>val_size</t>
  </si>
  <si>
    <t>cv_ratios</t>
  </si>
  <si>
    <t>uniform_train</t>
  </si>
  <si>
    <t>epsilon_train</t>
  </si>
  <si>
    <t>uniform_val</t>
  </si>
  <si>
    <t>epsilon_val</t>
  </si>
  <si>
    <t>num_cpus_gs_train</t>
  </si>
  <si>
    <t>num_cpus_gs_val</t>
  </si>
  <si>
    <t>max_weight_init</t>
  </si>
  <si>
    <t>stepsize</t>
  </si>
  <si>
    <t>Adam</t>
  </si>
  <si>
    <t>[0.3, 0.2, 0.2, 0.2, 0.1]</t>
  </si>
  <si>
    <t>[0.2, 0.1, 0.1, 0.1, 0.1, 0.1, 0.1, 0.1, 0.1]</t>
  </si>
  <si>
    <t>qubits</t>
  </si>
  <si>
    <t>runs</t>
  </si>
  <si>
    <t>iters</t>
  </si>
  <si>
    <t>uniform</t>
  </si>
  <si>
    <t>epsilon</t>
  </si>
  <si>
    <t>NCL</t>
  </si>
  <si>
    <t>CL</t>
  </si>
  <si>
    <t>ACL</t>
  </si>
  <si>
    <t>SPCL</t>
  </si>
  <si>
    <t>SPACL</t>
  </si>
  <si>
    <t>['NCL', 'CL', 'ACL', 'SPCL', 'SPACL']</t>
  </si>
  <si>
    <t>2024-01-18 17-38-31</t>
  </si>
  <si>
    <t>2024-01-18 18-22-18</t>
  </si>
  <si>
    <t>2024-01-18 20-01-23</t>
  </si>
  <si>
    <t>2024-01-18 21-26-07</t>
  </si>
  <si>
    <t>2024-01-18 11-33-52</t>
  </si>
  <si>
    <t>2024-01-18 09-37-29</t>
  </si>
  <si>
    <t>2024-01-18 07-30-47</t>
  </si>
  <si>
    <t>2024-01-17 21-35-00</t>
  </si>
  <si>
    <t>2024-01-17 19-19-32</t>
  </si>
  <si>
    <t>2024-01-16 20-48-36</t>
  </si>
  <si>
    <t>2024-01-19 08-39-35</t>
  </si>
  <si>
    <t>2024-01-19 09-17-15</t>
  </si>
  <si>
    <t>2024-01-19 09-52-11</t>
  </si>
  <si>
    <t>2024-01-19 10-28-33</t>
  </si>
  <si>
    <t>key1</t>
  </si>
  <si>
    <t>key2</t>
  </si>
  <si>
    <t>[0.4, 0.3, 0.2, 0.1]</t>
  </si>
  <si>
    <t>2024-01-19 17-24-32</t>
  </si>
  <si>
    <t>mean_squares</t>
  </si>
  <si>
    <t>2024-01-19 17-59-52</t>
  </si>
  <si>
    <t>cross_entropy</t>
  </si>
  <si>
    <t>2024-01-19 18-15-11</t>
  </si>
  <si>
    <t>2024-01-19 19-06-13</t>
  </si>
  <si>
    <t>[0.1, 0.2, 0.3, 0.4]</t>
  </si>
  <si>
    <t>2024-01-19 19-34-04</t>
  </si>
  <si>
    <t>2024-01-19 20-14-07</t>
  </si>
  <si>
    <t>2024-01-19 20-10-33</t>
  </si>
  <si>
    <t>2024-01-19 21-19-33</t>
  </si>
  <si>
    <t>gaussian</t>
  </si>
  <si>
    <t>id</t>
  </si>
  <si>
    <t>cl_type</t>
  </si>
  <si>
    <t>comments</t>
  </si>
  <si>
    <t>initialization</t>
  </si>
  <si>
    <t>2024-01-20 10-14-53</t>
  </si>
  <si>
    <t>2024-01-20 10-15-48</t>
  </si>
  <si>
    <t>2024-01-20 11-23-59</t>
  </si>
  <si>
    <t>2024-01-20 11-50-23</t>
  </si>
  <si>
    <t>['NCL', 'CL', 'ACL']</t>
  </si>
  <si>
    <t>Change scheduling: Every 1/n of iterations we change ratio, where n is the length of cv_ratios</t>
  </si>
  <si>
    <t>2024-01-21 20-12-59</t>
  </si>
  <si>
    <t>2024-01-21 20-14-01</t>
  </si>
  <si>
    <t>2024-01-21 21-21-06</t>
  </si>
  <si>
    <t>2024-01-21 21-22-03</t>
  </si>
  <si>
    <t>2024-01-21 22-26-34</t>
  </si>
  <si>
    <t>2024-01-21 23-36-04</t>
  </si>
  <si>
    <t>2024-01-22 09-14-53</t>
  </si>
  <si>
    <t>2024-01-22 09-53-10</t>
  </si>
  <si>
    <t>acc_val_last</t>
  </si>
  <si>
    <t>acc_train_last</t>
  </si>
  <si>
    <t>num_runs2</t>
  </si>
  <si>
    <t>Column3</t>
  </si>
  <si>
    <t>order_cl_type</t>
  </si>
  <si>
    <t>count</t>
  </si>
  <si>
    <t>delta_train_max</t>
  </si>
  <si>
    <t>delta_train_last</t>
  </si>
  <si>
    <t>delta_val_max</t>
  </si>
  <si>
    <t>delta_val_last</t>
  </si>
  <si>
    <t>Total average</t>
  </si>
  <si>
    <t>cross_entropy - mean_squares</t>
  </si>
  <si>
    <t>TRUE - FALSE</t>
  </si>
  <si>
    <t>uniform - gaussian</t>
  </si>
  <si>
    <t>[0.3, 0.1, 0.1, 0.1, 0.1, 0.1, 0.1, 0.1]</t>
  </si>
  <si>
    <t>[0.2, 0.1, 0.1, 0.1, 0.1, 0.1, 0.1, 0.2]</t>
  </si>
  <si>
    <t>2024-01-23 15-28-02</t>
  </si>
  <si>
    <t>cl_batch_ratios</t>
  </si>
  <si>
    <t>cl_iter_ratios</t>
  </si>
  <si>
    <t>[0.25, 0.25, 0.25, 0.25]</t>
  </si>
  <si>
    <t>2024-01-24 11-53-34</t>
  </si>
  <si>
    <t>2024-01-24 11-55-47</t>
  </si>
  <si>
    <t>BFGS</t>
  </si>
  <si>
    <t>2024-01-24 23-04-02</t>
  </si>
  <si>
    <t>actually not valid, BFGS wrongly programmed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</si>
</sst>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15">
    <fill>
      <patternFill patternType="none"/>
    </fill>
    <fill>
      <patternFill patternType="gray125"/>
    </fill>
    <fill>
      <patternFill patternType="solid">
        <fgColor rgb="FFFFEB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8736D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CB379"/>
        <bgColor indexed="64"/>
      </patternFill>
    </fill>
    <fill>
      <patternFill patternType="solid">
        <fgColor rgb="FFF8766D"/>
        <bgColor indexed="64"/>
      </patternFill>
    </fill>
    <fill>
      <patternFill patternType="solid">
        <fgColor rgb="FFA6D27F"/>
        <bgColor indexed="64"/>
      </patternFill>
    </fill>
    <fill>
      <patternFill patternType="solid">
        <fgColor rgb="FF93CC7E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rgb="FFE7E483"/>
        <bgColor indexed="64"/>
      </patternFill>
    </fill>
    <fill>
      <patternFill patternType="solid">
        <fgColor rgb="FFE0E283"/>
        <bgColor indexed="64"/>
      </patternFill>
    </fill>
    <fill>
      <patternFill patternType="solid">
        <fgColor rgb="FFFDD680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DCB7D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7BC57D"/>
        <bgColor indexed="64"/>
      </patternFill>
    </fill>
    <fill>
      <patternFill patternType="solid">
        <fgColor rgb="FF83C77D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98971"/>
        <bgColor indexed="64"/>
      </patternFill>
    </fill>
    <fill>
      <patternFill patternType="solid">
        <fgColor rgb="FFFBA576"/>
        <bgColor indexed="64"/>
      </patternFill>
    </fill>
    <fill>
      <patternFill patternType="solid">
        <fgColor rgb="FFA1D07F"/>
        <bgColor indexed="64"/>
      </patternFill>
    </fill>
    <fill>
      <patternFill patternType="solid">
        <fgColor rgb="FFF8716C"/>
        <bgColor indexed="64"/>
      </patternFill>
    </fill>
    <fill>
      <patternFill patternType="solid">
        <fgColor rgb="FFFCB77A"/>
        <bgColor indexed="64"/>
      </patternFill>
    </fill>
    <fill>
      <patternFill patternType="solid">
        <fgColor rgb="FFA9D380"/>
        <bgColor indexed="64"/>
      </patternFill>
    </fill>
    <fill>
      <patternFill patternType="solid">
        <fgColor rgb="FF86C87D"/>
        <bgColor indexed="64"/>
      </patternFill>
    </fill>
    <fill>
      <patternFill patternType="solid">
        <fgColor rgb="FFFCC37C"/>
        <bgColor indexed="64"/>
      </patternFill>
    </fill>
    <fill>
      <patternFill patternType="solid">
        <fgColor rgb="FFFA9473"/>
        <bgColor indexed="64"/>
      </patternFill>
    </fill>
    <fill>
      <patternFill patternType="solid">
        <fgColor rgb="FF97CD7E"/>
        <bgColor indexed="64"/>
      </patternFill>
    </fill>
    <fill>
      <patternFill patternType="solid">
        <fgColor rgb="FFF8726C"/>
        <bgColor indexed="64"/>
      </patternFill>
    </fill>
    <fill>
      <patternFill patternType="solid">
        <fgColor rgb="FFC5DB81"/>
        <bgColor indexed="64"/>
      </patternFill>
    </fill>
    <fill>
      <patternFill patternType="solid">
        <fgColor rgb="FFFEE282"/>
        <bgColor indexed="64"/>
      </patternFill>
    </fill>
    <fill>
      <patternFill patternType="solid">
        <fgColor rgb="FFF98D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C8DC81"/>
        <bgColor indexed="64"/>
      </patternFill>
    </fill>
    <fill>
      <patternFill patternType="solid">
        <fgColor rgb="FFF8786D"/>
        <bgColor indexed="64"/>
      </patternFill>
    </fill>
    <fill>
      <patternFill patternType="solid">
        <fgColor rgb="FFFA9673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FA9373"/>
        <bgColor indexed="64"/>
      </patternFill>
    </fill>
    <fill>
      <patternFill patternType="solid">
        <fgColor rgb="FFADD480"/>
        <bgColor indexed="64"/>
      </patternFill>
    </fill>
    <fill>
      <patternFill patternType="solid">
        <fgColor rgb="FFFA9573"/>
        <bgColor indexed="64"/>
      </patternFill>
    </fill>
    <fill>
      <patternFill patternType="solid">
        <fgColor rgb="FF9ECF7F"/>
        <bgColor indexed="64"/>
      </patternFill>
    </fill>
    <fill>
      <patternFill patternType="solid">
        <fgColor rgb="FFEDE683"/>
        <bgColor indexed="64"/>
      </patternFill>
    </fill>
    <fill>
      <patternFill patternType="solid">
        <fgColor rgb="FFFDD17F"/>
        <bgColor indexed="64"/>
      </patternFill>
    </fill>
    <fill>
      <patternFill patternType="solid">
        <fgColor rgb="FFFBA175"/>
        <bgColor indexed="64"/>
      </patternFill>
    </fill>
    <fill>
      <patternFill patternType="solid">
        <fgColor rgb="FFF9826F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DAE182"/>
        <bgColor indexed="64"/>
      </patternFill>
    </fill>
    <fill>
      <patternFill patternType="solid">
        <fgColor rgb="FFF8796E"/>
        <bgColor indexed="64"/>
      </patternFill>
    </fill>
    <fill>
      <patternFill patternType="solid">
        <fgColor rgb="FFFCC07B"/>
        <bgColor indexed="64"/>
      </patternFill>
    </fill>
    <fill>
      <patternFill patternType="solid">
        <fgColor rgb="FF83C87D"/>
        <bgColor indexed="64"/>
      </patternFill>
    </fill>
    <fill>
      <patternFill patternType="solid">
        <fgColor rgb="FFBBD881"/>
        <bgColor indexed="64"/>
      </patternFill>
    </fill>
    <fill>
      <patternFill patternType="solid">
        <fgColor rgb="FFFEE983"/>
        <bgColor indexed="64"/>
      </patternFill>
    </fill>
    <fill>
      <patternFill patternType="solid">
        <fgColor rgb="FFD0DE82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CB479"/>
        <bgColor indexed="64"/>
      </patternFill>
    </fill>
    <fill>
      <patternFill patternType="solid">
        <fgColor rgb="FFD5DF82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CEA84"/>
        <bgColor indexed="64"/>
      </patternFill>
    </fill>
    <fill>
      <patternFill patternType="solid">
        <fgColor rgb="FFDEE283"/>
        <bgColor indexed="64"/>
      </patternFill>
    </fill>
    <fill>
      <patternFill patternType="solid">
        <fgColor rgb="FF7FC67D"/>
        <bgColor indexed="64"/>
      </patternFill>
    </fill>
    <fill>
      <patternFill patternType="solid">
        <fgColor rgb="FF8BCA7E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FA9974"/>
        <bgColor indexed="64"/>
      </patternFill>
    </fill>
    <fill>
      <patternFill patternType="solid">
        <fgColor rgb="FF78C47D"/>
        <bgColor indexed="64"/>
      </patternFill>
    </fill>
    <fill>
      <patternFill patternType="solid">
        <fgColor rgb="FFFEDA80"/>
        <bgColor indexed="64"/>
      </patternFill>
    </fill>
    <fill>
      <patternFill patternType="solid">
        <fgColor rgb="FF77C47D"/>
        <bgColor indexed="64"/>
      </patternFill>
    </fill>
    <fill>
      <patternFill patternType="solid">
        <fgColor rgb="FFFBA977"/>
        <bgColor indexed="64"/>
      </patternFill>
    </fill>
    <fill>
      <patternFill patternType="solid">
        <fgColor rgb="FFE0E383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BCD881"/>
        <bgColor indexed="64"/>
      </patternFill>
    </fill>
    <fill>
      <patternFill patternType="solid">
        <fgColor rgb="FFFCB579"/>
        <bgColor indexed="64"/>
      </patternFill>
    </fill>
    <fill>
      <patternFill patternType="solid">
        <fgColor rgb="FFFCC47C"/>
        <bgColor indexed="64"/>
      </patternFill>
    </fill>
    <fill>
      <patternFill patternType="solid">
        <fgColor rgb="FF9DCF7F"/>
        <bgColor indexed="64"/>
      </patternFill>
    </fill>
    <fill>
      <patternFill patternType="solid">
        <fgColor rgb="FFFDD07E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D4DF82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FAA075"/>
        <bgColor indexed="64"/>
      </patternFill>
    </fill>
    <fill>
      <patternFill patternType="solid">
        <fgColor rgb="FFAED480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85C87D"/>
        <bgColor indexed="64"/>
      </patternFill>
    </fill>
    <fill>
      <patternFill patternType="solid">
        <fgColor rgb="FFD2DE82"/>
        <bgColor indexed="64"/>
      </patternFill>
    </fill>
    <fill>
      <patternFill patternType="solid">
        <fgColor rgb="FFA8D2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FBAD78"/>
        <bgColor indexed="64"/>
      </patternFill>
    </fill>
    <fill>
      <patternFill patternType="solid">
        <fgColor rgb="FFAAD380"/>
        <bgColor indexed="64"/>
      </patternFill>
    </fill>
    <fill>
      <patternFill patternType="solid">
        <fgColor rgb="FFFA8F72"/>
        <bgColor indexed="64"/>
      </patternFill>
    </fill>
    <fill>
      <patternFill patternType="solid">
        <fgColor rgb="FFFEDE81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DBE182"/>
        <bgColor indexed="64"/>
      </patternFill>
    </fill>
    <fill>
      <patternFill patternType="solid">
        <fgColor rgb="FFF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FA9B74"/>
        <bgColor indexed="64"/>
      </patternFill>
    </fill>
    <fill>
      <patternFill patternType="solid">
        <fgColor rgb="FFFA8E72"/>
        <bgColor indexed="64"/>
      </patternFill>
    </fill>
    <fill>
      <patternFill patternType="solid">
        <fgColor rgb="FFFBB279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2E383"/>
        <bgColor indexed="64"/>
      </patternFill>
    </fill>
    <fill>
      <patternFill patternType="solid">
        <fgColor rgb="FFFDCE7E"/>
        <bgColor indexed="64"/>
      </patternFill>
    </fill>
    <fill>
      <patternFill patternType="solid">
        <fgColor rgb="FFFEE683"/>
        <bgColor indexed="64"/>
      </patternFill>
    </fill>
    <fill>
      <patternFill patternType="solid">
        <fgColor rgb="FFF98470"/>
        <bgColor indexed="64"/>
      </patternFill>
    </fill>
    <fill>
      <patternFill patternType="solid">
        <fgColor rgb="FFD9E082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E8E583"/>
        <bgColor indexed="64"/>
      </patternFill>
    </fill>
    <fill>
      <patternFill patternType="solid">
        <fgColor rgb="FFF9816F"/>
        <bgColor indexed="64"/>
      </patternFill>
    </fill>
    <fill>
      <patternFill patternType="solid">
        <fgColor rgb="FFD3DF82"/>
        <bgColor indexed="64"/>
      </patternFill>
    </fill>
    <fill>
      <patternFill patternType="solid">
        <fgColor rgb="FFFA9272"/>
        <bgColor indexed="64"/>
      </patternFill>
    </fill>
    <fill>
      <patternFill patternType="solid">
        <fgColor rgb="FFFBA075"/>
        <bgColor indexed="64"/>
      </patternFill>
    </fill>
    <fill>
      <patternFill patternType="solid">
        <fgColor rgb="FFC1DA81"/>
        <bgColor indexed="64"/>
      </patternFill>
    </fill>
    <fill>
      <patternFill patternType="solid">
        <fgColor rgb="FFA3D17F"/>
        <bgColor indexed="64"/>
      </patternFill>
    </fill>
    <fill>
      <patternFill patternType="solid">
        <fgColor rgb="FFFDD57F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7CC67D"/>
        <bgColor indexed="64"/>
      </patternFill>
    </fill>
    <fill>
      <patternFill patternType="solid">
        <fgColor rgb="FFFCBB7A"/>
        <bgColor indexed="64"/>
      </patternFill>
    </fill>
    <fill>
      <patternFill patternType="solid">
        <fgColor rgb="FFC7DB81"/>
        <bgColor indexed="64"/>
      </patternFill>
    </fill>
    <fill>
      <patternFill patternType="solid">
        <fgColor rgb="FF78C57D"/>
        <bgColor indexed="64"/>
      </patternFill>
    </fill>
    <fill>
      <patternFill patternType="solid">
        <fgColor rgb="FFC2DA81"/>
        <bgColor indexed="64"/>
      </patternFill>
    </fill>
    <fill>
      <patternFill patternType="solid">
        <fgColor rgb="FFB0D480"/>
        <bgColor indexed="64"/>
      </patternFill>
    </fill>
    <fill>
      <patternFill patternType="solid">
        <fgColor rgb="FFFBA276"/>
        <bgColor indexed="64"/>
      </patternFill>
    </fill>
    <fill>
      <patternFill patternType="solid">
        <fgColor rgb="FFF98B71"/>
        <bgColor indexed="64"/>
      </patternFill>
    </fill>
    <fill>
      <patternFill patternType="solid">
        <fgColor rgb="FFFBA877"/>
        <bgColor indexed="64"/>
      </patternFill>
    </fill>
    <fill>
      <patternFill patternType="solid">
        <fgColor rgb="FFB2D580"/>
        <bgColor indexed="64"/>
      </patternFill>
    </fill>
    <fill>
      <patternFill patternType="solid">
        <fgColor rgb="FFFBEA8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A9A74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8746D"/>
        <bgColor indexed="64"/>
      </patternFill>
    </fill>
    <fill>
      <patternFill patternType="solid">
        <fgColor rgb="FFFEE482"/>
        <bgColor indexed="64"/>
      </patternFill>
    </fill>
    <fill>
      <patternFill patternType="solid">
        <fgColor rgb="FFFEEA83"/>
        <bgColor indexed="64"/>
      </patternFill>
    </fill>
    <fill>
      <patternFill patternType="solid">
        <fgColor rgb="FFF9EA84"/>
        <bgColor indexed="64"/>
      </patternFill>
    </fill>
    <fill>
      <patternFill patternType="solid">
        <fgColor rgb="FFF98670"/>
        <bgColor indexed="64"/>
      </patternFill>
    </fill>
    <fill>
      <patternFill patternType="solid">
        <fgColor rgb="FFF86B6B"/>
        <bgColor indexed="64"/>
      </patternFill>
    </fill>
    <fill>
      <patternFill patternType="solid">
        <fgColor rgb="FF99CE7F"/>
        <bgColor indexed="64"/>
      </patternFill>
    </fill>
    <fill>
      <patternFill patternType="solid">
        <fgColor rgb="FF8ECB7E"/>
        <bgColor indexed="64"/>
      </patternFill>
    </fill>
    <fill>
      <patternFill patternType="solid">
        <fgColor rgb="FFBDD881"/>
        <bgColor indexed="64"/>
      </patternFill>
    </fill>
    <fill>
      <patternFill patternType="solid">
        <fgColor rgb="FFF8756D"/>
        <bgColor indexed="64"/>
      </patternFill>
    </fill>
    <fill>
      <patternFill patternType="solid">
        <fgColor rgb="FFFBAB77"/>
        <bgColor indexed="64"/>
      </patternFill>
    </fill>
    <fill>
      <patternFill patternType="solid">
        <fgColor rgb="FF89C97E"/>
        <bgColor indexed="64"/>
      </patternFill>
    </fill>
    <fill>
      <patternFill patternType="solid">
        <fgColor rgb="FFBAD881"/>
        <bgColor indexed="64"/>
      </patternFill>
    </fill>
    <fill>
      <patternFill patternType="solid">
        <fgColor rgb="FFFA9D75"/>
        <bgColor indexed="64"/>
      </patternFill>
    </fill>
    <fill>
      <patternFill patternType="solid">
        <fgColor rgb="FFFDC77D"/>
        <bgColor indexed="64"/>
      </patternFill>
    </fill>
    <fill>
      <patternFill patternType="solid">
        <fgColor rgb="FFF8776D"/>
        <bgColor indexed="64"/>
      </patternFill>
    </fill>
    <fill>
      <patternFill patternType="solid">
        <fgColor rgb="FFF98A71"/>
        <bgColor indexed="64"/>
      </patternFill>
    </fill>
    <fill>
      <patternFill patternType="solid">
        <fgColor rgb="FFFED980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C1D981"/>
        <bgColor indexed="64"/>
      </patternFill>
    </fill>
    <fill>
      <patternFill patternType="solid">
        <fgColor rgb="FFFDCF7E"/>
        <bgColor indexed="64"/>
      </patternFill>
    </fill>
    <fill>
      <patternFill patternType="solid">
        <fgColor rgb="FF90CB7E"/>
        <bgColor indexed="64"/>
      </patternFill>
    </fill>
    <fill>
      <patternFill patternType="solid">
        <fgColor rgb="FFB5D680"/>
        <bgColor indexed="64"/>
      </patternFill>
    </fill>
    <fill>
      <patternFill patternType="solid">
        <fgColor rgb="FFC0D981"/>
        <bgColor indexed="64"/>
      </patternFill>
    </fill>
    <fill>
      <patternFill patternType="solid">
        <fgColor rgb="FFFDC67D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82C77D"/>
        <bgColor indexed="64"/>
      </patternFill>
    </fill>
    <fill>
      <patternFill patternType="solid">
        <fgColor rgb="FFD6DF82"/>
        <bgColor indexed="64"/>
      </patternFill>
    </fill>
    <fill>
      <patternFill patternType="solid">
        <fgColor rgb="FFFA9F75"/>
        <bgColor indexed="64"/>
      </patternFill>
    </fill>
    <fill>
      <patternFill patternType="solid">
        <fgColor rgb="FFFEE883"/>
        <bgColor indexed="64"/>
      </patternFill>
    </fill>
    <fill>
      <patternFill patternType="solid">
        <fgColor rgb="FFF8736C"/>
        <bgColor indexed="64"/>
      </patternFill>
    </fill>
    <fill>
      <patternFill patternType="solid">
        <fgColor rgb="FF96CD7E"/>
        <bgColor indexed="64"/>
      </patternFill>
    </fill>
    <fill>
      <patternFill patternType="solid">
        <fgColor rgb="FFFEE382"/>
        <bgColor indexed="64"/>
      </patternFill>
    </fill>
    <fill>
      <patternFill patternType="solid">
        <fgColor rgb="FFFCB679"/>
        <bgColor indexed="64"/>
      </patternFill>
    </fill>
    <fill>
      <patternFill patternType="solid">
        <fgColor rgb="FF9FD07F"/>
        <bgColor indexed="64"/>
      </patternFill>
    </fill>
    <fill>
      <patternFill patternType="solid">
        <fgColor rgb="FF80C77D"/>
        <bgColor indexed="64"/>
      </patternFill>
    </fill>
    <fill>
      <patternFill patternType="solid">
        <fgColor rgb="FFF97D6E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8CCA7E"/>
        <bgColor indexed="64"/>
      </patternFill>
    </fill>
    <fill>
      <patternFill patternType="solid">
        <fgColor rgb="FF79C57D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FBA275"/>
        <bgColor indexed="64"/>
      </patternFill>
    </fill>
    <fill>
      <patternFill patternType="solid">
        <fgColor rgb="FFF9806F"/>
        <bgColor indexed="64"/>
      </patternFill>
    </fill>
    <fill>
      <patternFill patternType="solid">
        <fgColor rgb="FFD8E082"/>
        <bgColor indexed="64"/>
      </patternFill>
    </fill>
    <fill>
      <patternFill patternType="solid">
        <fgColor rgb="FF9BCE7F"/>
        <bgColor indexed="64"/>
      </patternFill>
    </fill>
    <fill>
      <patternFill patternType="solid">
        <fgColor rgb="FFFDCA7D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8ACA7E"/>
        <bgColor indexed="64"/>
      </patternFill>
    </fill>
    <fill>
      <patternFill patternType="solid">
        <fgColor rgb="FFF98C71"/>
        <bgColor indexed="64"/>
      </patternFill>
    </fill>
    <fill>
      <patternFill patternType="solid">
        <fgColor rgb="FF94CC7E"/>
        <bgColor indexed="64"/>
      </patternFill>
    </fill>
    <fill>
      <patternFill patternType="solid">
        <fgColor rgb="FFFEE783"/>
        <bgColor indexed="64"/>
      </patternFill>
    </fill>
    <fill>
      <patternFill patternType="solid">
        <fgColor rgb="FFFCC17B"/>
        <bgColor indexed="64"/>
      </patternFill>
    </fill>
    <fill>
      <patternFill patternType="solid">
        <fgColor rgb="FFF6E984"/>
        <bgColor indexed="64"/>
      </patternFill>
    </fill>
    <fill>
      <patternFill patternType="solid">
        <fgColor rgb="FFFA9C74"/>
        <bgColor indexed="64"/>
      </patternFill>
    </fill>
    <fill>
      <patternFill patternType="solid">
        <fgColor rgb="FF98CE7F"/>
        <bgColor indexed="64"/>
      </patternFill>
    </fill>
    <fill>
      <patternFill patternType="solid">
        <fgColor rgb="FFEFE784"/>
        <bgColor indexed="64"/>
      </patternFill>
    </fill>
    <fill>
      <patternFill patternType="solid">
        <fgColor rgb="FFFBAC77"/>
        <bgColor indexed="64"/>
      </patternFill>
    </fill>
    <fill>
      <patternFill patternType="solid">
        <fgColor rgb="FFFCEB84"/>
        <bgColor indexed="64"/>
      </patternFill>
    </fill>
    <fill>
      <patternFill patternType="solid">
        <fgColor rgb="FFFDCC7E"/>
        <bgColor indexed="64"/>
      </patternFill>
    </fill>
    <fill>
      <patternFill patternType="solid">
        <fgColor rgb="FF95CD7E"/>
        <bgColor indexed="64"/>
      </patternFill>
    </fill>
    <fill>
      <patternFill patternType="solid">
        <fgColor rgb="FF66BF7C"/>
        <bgColor indexed="64"/>
      </patternFill>
    </fill>
    <fill>
      <patternFill patternType="solid">
        <fgColor rgb="FFB7D780"/>
        <bgColor indexed="64"/>
      </patternFill>
    </fill>
    <fill>
      <patternFill patternType="solid">
        <fgColor rgb="FFFBAF78"/>
        <bgColor indexed="64"/>
      </patternFill>
    </fill>
    <fill>
      <patternFill patternType="solid">
        <fgColor rgb="FFA2D17F"/>
        <bgColor indexed="64"/>
      </patternFill>
    </fill>
    <fill>
      <patternFill patternType="solid">
        <fgColor rgb="FF9CCF7F"/>
        <bgColor indexed="64"/>
      </patternFill>
    </fill>
    <fill>
      <patternFill patternType="solid">
        <fgColor rgb="FFF2E884"/>
        <bgColor indexed="64"/>
      </patternFill>
    </fill>
    <fill>
      <patternFill patternType="solid">
        <fgColor rgb="FFAFD480"/>
        <bgColor indexed="64"/>
      </patternFill>
    </fill>
    <fill>
      <patternFill patternType="solid">
        <fgColor rgb="FFF98E72"/>
        <bgColor indexed="64"/>
      </patternFill>
    </fill>
    <fill>
      <patternFill patternType="solid">
        <fgColor rgb="FFFA9774"/>
        <bgColor indexed="64"/>
      </patternFill>
    </fill>
    <fill>
      <patternFill patternType="solid">
        <fgColor rgb="FFFDCB7E"/>
        <bgColor indexed="64"/>
      </patternFill>
    </fill>
    <fill>
      <patternFill patternType="solid">
        <fgColor rgb="FFB3D580"/>
        <bgColor indexed="64"/>
      </patternFill>
    </fill>
    <fill>
      <patternFill patternType="solid">
        <fgColor rgb="FF8AC97E"/>
        <bgColor indexed="64"/>
      </patternFill>
    </fill>
    <fill>
      <patternFill patternType="solid">
        <fgColor rgb="FFF5E984"/>
        <bgColor indexed="64"/>
      </patternFill>
    </fill>
    <fill>
      <patternFill patternType="solid">
        <fgColor rgb="FFA5D17F"/>
        <bgColor indexed="64"/>
      </patternFill>
    </fill>
    <fill>
      <patternFill patternType="solid">
        <fgColor rgb="FFCDDD82"/>
        <bgColor indexed="64"/>
      </patternFill>
    </fill>
    <fill>
      <patternFill patternType="solid">
        <fgColor rgb="FFFA9072"/>
        <bgColor indexed="64"/>
      </patternFill>
    </fill>
    <fill>
      <patternFill patternType="solid">
        <fgColor rgb="FFFEE08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2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1" xfId="0" applyFont="1" applyBorder="1"/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6" xfId="0" applyNumberFormat="1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164" fontId="0" fillId="15" borderId="4" xfId="0" applyNumberFormat="1" applyFill="1" applyBorder="1" applyAlignment="1">
      <alignment horizontal="center"/>
    </xf>
    <xf numFmtId="164" fontId="0" fillId="16" borderId="6" xfId="0" applyNumberFormat="1" applyFill="1" applyBorder="1" applyAlignment="1">
      <alignment horizontal="center"/>
    </xf>
    <xf numFmtId="164" fontId="0" fillId="17" borderId="6" xfId="0" applyNumberFormat="1" applyFill="1" applyBorder="1" applyAlignment="1">
      <alignment horizontal="center"/>
    </xf>
    <xf numFmtId="164" fontId="0" fillId="18" borderId="4" xfId="0" applyNumberFormat="1" applyFill="1" applyBorder="1" applyAlignment="1">
      <alignment horizontal="center"/>
    </xf>
    <xf numFmtId="164" fontId="0" fillId="19" borderId="4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164" fontId="0" fillId="21" borderId="4" xfId="0" applyNumberFormat="1" applyFill="1" applyBorder="1" applyAlignment="1">
      <alignment horizontal="center"/>
    </xf>
    <xf numFmtId="164" fontId="0" fillId="22" borderId="5" xfId="0" applyNumberFormat="1" applyFill="1" applyBorder="1" applyAlignment="1">
      <alignment horizontal="center"/>
    </xf>
    <xf numFmtId="164" fontId="0" fillId="23" borderId="5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7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28" borderId="6" xfId="0" applyNumberFormat="1" applyFill="1" applyBorder="1" applyAlignment="1">
      <alignment horizontal="center"/>
    </xf>
    <xf numFmtId="164" fontId="0" fillId="29" borderId="4" xfId="0" applyNumberFormat="1" applyFill="1" applyBorder="1" applyAlignment="1">
      <alignment horizontal="center"/>
    </xf>
    <xf numFmtId="164" fontId="0" fillId="30" borderId="4" xfId="0" applyNumberFormat="1" applyFill="1" applyBorder="1" applyAlignment="1">
      <alignment horizontal="center"/>
    </xf>
    <xf numFmtId="164" fontId="0" fillId="31" borderId="6" xfId="0" applyNumberFormat="1" applyFill="1" applyBorder="1" applyAlignment="1">
      <alignment horizontal="center"/>
    </xf>
    <xf numFmtId="164" fontId="0" fillId="32" borderId="4" xfId="0" applyNumberFormat="1" applyFill="1" applyBorder="1" applyAlignment="1">
      <alignment horizontal="center"/>
    </xf>
    <xf numFmtId="164" fontId="0" fillId="33" borderId="4" xfId="0" applyNumberFormat="1" applyFill="1" applyBorder="1" applyAlignment="1">
      <alignment horizontal="center"/>
    </xf>
    <xf numFmtId="164" fontId="0" fillId="34" borderId="4" xfId="0" applyNumberFormat="1" applyFill="1" applyBorder="1" applyAlignment="1">
      <alignment horizontal="center"/>
    </xf>
    <xf numFmtId="164" fontId="0" fillId="36" borderId="4" xfId="0" applyNumberFormat="1" applyFill="1" applyBorder="1" applyAlignment="1">
      <alignment horizontal="center"/>
    </xf>
    <xf numFmtId="164" fontId="0" fillId="37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8" borderId="4" xfId="0" applyNumberFormat="1" applyFill="1" applyBorder="1" applyAlignment="1">
      <alignment horizontal="center"/>
    </xf>
    <xf numFmtId="164" fontId="0" fillId="39" borderId="4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4" fontId="0" fillId="40" borderId="5" xfId="0" applyNumberFormat="1" applyFill="1" applyBorder="1" applyAlignment="1">
      <alignment horizontal="center"/>
    </xf>
    <xf numFmtId="164" fontId="0" fillId="41" borderId="6" xfId="0" applyNumberFormat="1" applyFill="1" applyBorder="1" applyAlignment="1">
      <alignment horizontal="center"/>
    </xf>
    <xf numFmtId="164" fontId="0" fillId="42" borderId="4" xfId="0" applyNumberFormat="1" applyFill="1" applyBorder="1" applyAlignment="1">
      <alignment horizontal="center"/>
    </xf>
    <xf numFmtId="164" fontId="0" fillId="43" borderId="4" xfId="0" applyNumberFormat="1" applyFill="1" applyBorder="1" applyAlignment="1">
      <alignment horizontal="center"/>
    </xf>
    <xf numFmtId="164" fontId="0" fillId="44" borderId="6" xfId="0" applyNumberFormat="1" applyFill="1" applyBorder="1" applyAlignment="1">
      <alignment horizontal="center"/>
    </xf>
    <xf numFmtId="164" fontId="0" fillId="45" borderId="4" xfId="0" applyNumberFormat="1" applyFill="1" applyBorder="1" applyAlignment="1">
      <alignment horizontal="center"/>
    </xf>
    <xf numFmtId="164" fontId="0" fillId="46" borderId="6" xfId="0" applyNumberFormat="1" applyFill="1" applyBorder="1" applyAlignment="1">
      <alignment horizontal="center"/>
    </xf>
    <xf numFmtId="164" fontId="0" fillId="25" borderId="4" xfId="0" applyNumberFormat="1" applyFill="1" applyBorder="1" applyAlignment="1">
      <alignment horizontal="center"/>
    </xf>
    <xf numFmtId="164" fontId="0" fillId="47" borderId="5" xfId="0" applyNumberFormat="1" applyFill="1" applyBorder="1" applyAlignment="1">
      <alignment horizontal="center"/>
    </xf>
    <xf numFmtId="164" fontId="0" fillId="48" borderId="4" xfId="0" applyNumberFormat="1" applyFill="1" applyBorder="1" applyAlignment="1">
      <alignment horizontal="center"/>
    </xf>
    <xf numFmtId="164" fontId="0" fillId="49" borderId="4" xfId="0" applyNumberFormat="1" applyFill="1" applyBorder="1" applyAlignment="1">
      <alignment horizontal="center"/>
    </xf>
    <xf numFmtId="164" fontId="0" fillId="50" borderId="5" xfId="0" applyNumberFormat="1" applyFill="1" applyBorder="1" applyAlignment="1">
      <alignment horizontal="center"/>
    </xf>
    <xf numFmtId="164" fontId="0" fillId="51" borderId="5" xfId="0" applyNumberFormat="1" applyFill="1" applyBorder="1" applyAlignment="1">
      <alignment horizontal="center"/>
    </xf>
    <xf numFmtId="164" fontId="0" fillId="52" borderId="4" xfId="0" applyNumberFormat="1" applyFill="1" applyBorder="1" applyAlignment="1">
      <alignment horizontal="center"/>
    </xf>
    <xf numFmtId="164" fontId="0" fillId="53" borderId="4" xfId="0" applyNumberFormat="1" applyFill="1" applyBorder="1" applyAlignment="1">
      <alignment horizontal="center"/>
    </xf>
    <xf numFmtId="164" fontId="0" fillId="54" borderId="4" xfId="0" applyNumberFormat="1" applyFill="1" applyBorder="1" applyAlignment="1">
      <alignment horizontal="center"/>
    </xf>
    <xf numFmtId="164" fontId="0" fillId="55" borderId="4" xfId="0" applyNumberFormat="1" applyFill="1" applyBorder="1" applyAlignment="1">
      <alignment horizontal="center"/>
    </xf>
    <xf numFmtId="164" fontId="0" fillId="56" borderId="4" xfId="0" applyNumberFormat="1" applyFill="1" applyBorder="1" applyAlignment="1">
      <alignment horizontal="center"/>
    </xf>
    <xf numFmtId="164" fontId="0" fillId="59" borderId="6" xfId="0" applyNumberFormat="1" applyFill="1" applyBorder="1" applyAlignment="1">
      <alignment horizontal="center"/>
    </xf>
    <xf numFmtId="164" fontId="0" fillId="60" borderId="4" xfId="0" applyNumberFormat="1" applyFill="1" applyBorder="1" applyAlignment="1">
      <alignment horizontal="center"/>
    </xf>
    <xf numFmtId="164" fontId="0" fillId="61" borderId="4" xfId="0" applyNumberFormat="1" applyFill="1" applyBorder="1" applyAlignment="1">
      <alignment horizontal="center"/>
    </xf>
    <xf numFmtId="164" fontId="0" fillId="62" borderId="4" xfId="0" applyNumberFormat="1" applyFill="1" applyBorder="1" applyAlignment="1">
      <alignment horizontal="center"/>
    </xf>
    <xf numFmtId="164" fontId="0" fillId="63" borderId="4" xfId="0" applyNumberFormat="1" applyFill="1" applyBorder="1" applyAlignment="1">
      <alignment horizontal="center"/>
    </xf>
    <xf numFmtId="164" fontId="0" fillId="64" borderId="5" xfId="0" applyNumberFormat="1" applyFill="1" applyBorder="1" applyAlignment="1">
      <alignment horizontal="center"/>
    </xf>
    <xf numFmtId="164" fontId="0" fillId="65" borderId="5" xfId="0" applyNumberFormat="1" applyFill="1" applyBorder="1" applyAlignment="1">
      <alignment horizontal="center"/>
    </xf>
    <xf numFmtId="164" fontId="0" fillId="66" borderId="6" xfId="0" applyNumberFormat="1" applyFill="1" applyBorder="1" applyAlignment="1">
      <alignment horizontal="center"/>
    </xf>
    <xf numFmtId="164" fontId="0" fillId="67" borderId="4" xfId="0" applyNumberFormat="1" applyFill="1" applyBorder="1" applyAlignment="1">
      <alignment horizontal="center"/>
    </xf>
    <xf numFmtId="164" fontId="0" fillId="68" borderId="4" xfId="0" applyNumberFormat="1" applyFill="1" applyBorder="1" applyAlignment="1">
      <alignment horizontal="center"/>
    </xf>
    <xf numFmtId="164" fontId="0" fillId="69" borderId="4" xfId="0" applyNumberFormat="1" applyFill="1" applyBorder="1" applyAlignment="1">
      <alignment horizontal="center"/>
    </xf>
    <xf numFmtId="164" fontId="0" fillId="70" borderId="6" xfId="0" applyNumberFormat="1" applyFill="1" applyBorder="1" applyAlignment="1">
      <alignment horizontal="center"/>
    </xf>
    <xf numFmtId="164" fontId="0" fillId="71" borderId="6" xfId="0" applyNumberFormat="1" applyFill="1" applyBorder="1" applyAlignment="1">
      <alignment horizontal="center"/>
    </xf>
    <xf numFmtId="164" fontId="0" fillId="72" borderId="5" xfId="0" applyNumberFormat="1" applyFill="1" applyBorder="1" applyAlignment="1">
      <alignment horizontal="center"/>
    </xf>
    <xf numFmtId="164" fontId="0" fillId="73" borderId="5" xfId="0" applyNumberFormat="1" applyFill="1" applyBorder="1" applyAlignment="1">
      <alignment horizontal="center"/>
    </xf>
    <xf numFmtId="164" fontId="0" fillId="74" borderId="4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164" fontId="0" fillId="75" borderId="5" xfId="0" applyNumberFormat="1" applyFill="1" applyBorder="1" applyAlignment="1">
      <alignment horizontal="center"/>
    </xf>
    <xf numFmtId="164" fontId="0" fillId="76" borderId="4" xfId="0" applyNumberFormat="1" applyFill="1" applyBorder="1" applyAlignment="1">
      <alignment horizontal="center"/>
    </xf>
    <xf numFmtId="164" fontId="0" fillId="77" borderId="5" xfId="0" applyNumberFormat="1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1" xfId="0" applyFill="1" applyBorder="1"/>
    <xf numFmtId="0" fontId="0" fillId="2" borderId="1" xfId="0" applyFill="1" applyBorder="1"/>
    <xf numFmtId="0" fontId="0" fillId="78" borderId="2" xfId="0" applyFill="1" applyBorder="1"/>
    <xf numFmtId="0" fontId="0" fillId="14" borderId="0" xfId="0" applyFill="1"/>
    <xf numFmtId="0" fontId="0" fillId="86" borderId="2" xfId="0" applyFill="1" applyBorder="1"/>
    <xf numFmtId="0" fontId="0" fillId="87" borderId="2" xfId="0" applyFill="1" applyBorder="1"/>
    <xf numFmtId="0" fontId="0" fillId="93" borderId="2" xfId="0" applyFill="1" applyBorder="1"/>
    <xf numFmtId="0" fontId="0" fillId="95" borderId="0" xfId="0" applyFill="1"/>
    <xf numFmtId="0" fontId="0" fillId="34" borderId="0" xfId="0" applyFill="1"/>
    <xf numFmtId="0" fontId="0" fillId="99" borderId="2" xfId="0" applyFill="1" applyBorder="1"/>
    <xf numFmtId="0" fontId="0" fillId="110" borderId="0" xfId="0" applyFill="1"/>
    <xf numFmtId="0" fontId="0" fillId="111" borderId="1" xfId="0" applyFill="1" applyBorder="1"/>
    <xf numFmtId="0" fontId="0" fillId="77" borderId="1" xfId="0" applyFill="1" applyBorder="1"/>
    <xf numFmtId="0" fontId="0" fillId="62" borderId="0" xfId="0" applyFill="1"/>
    <xf numFmtId="0" fontId="0" fillId="90" borderId="1" xfId="0" applyFill="1" applyBorder="1"/>
    <xf numFmtId="0" fontId="0" fillId="86" borderId="0" xfId="0" applyFill="1"/>
    <xf numFmtId="0" fontId="0" fillId="95" borderId="2" xfId="0" applyFill="1" applyBorder="1"/>
    <xf numFmtId="0" fontId="0" fillId="126" borderId="2" xfId="0" applyFill="1" applyBorder="1"/>
    <xf numFmtId="0" fontId="0" fillId="130" borderId="0" xfId="0" applyFill="1"/>
    <xf numFmtId="0" fontId="0" fillId="133" borderId="2" xfId="0" applyFill="1" applyBorder="1"/>
    <xf numFmtId="0" fontId="0" fillId="103" borderId="1" xfId="0" applyFill="1" applyBorder="1"/>
    <xf numFmtId="0" fontId="0" fillId="139" borderId="2" xfId="0" applyFill="1" applyBorder="1"/>
    <xf numFmtId="0" fontId="0" fillId="140" borderId="0" xfId="0" applyFill="1"/>
    <xf numFmtId="0" fontId="0" fillId="143" borderId="0" xfId="0" applyFill="1"/>
    <xf numFmtId="0" fontId="0" fillId="144" borderId="1" xfId="0" applyFill="1" applyBorder="1"/>
    <xf numFmtId="0" fontId="0" fillId="145" borderId="2" xfId="0" applyFill="1" applyBorder="1"/>
    <xf numFmtId="0" fontId="0" fillId="75" borderId="2" xfId="0" applyFill="1" applyBorder="1"/>
    <xf numFmtId="0" fontId="0" fillId="150" borderId="0" xfId="0" applyFill="1"/>
    <xf numFmtId="0" fontId="0" fillId="152" borderId="0" xfId="0" applyFill="1"/>
    <xf numFmtId="0" fontId="0" fillId="34" borderId="2" xfId="0" applyFill="1" applyBorder="1"/>
    <xf numFmtId="0" fontId="0" fillId="14" borderId="2" xfId="0" applyFill="1" applyBorder="1"/>
    <xf numFmtId="0" fontId="0" fillId="50" borderId="0" xfId="0" applyFill="1"/>
    <xf numFmtId="0" fontId="0" fillId="159" borderId="0" xfId="0" applyFill="1"/>
    <xf numFmtId="0" fontId="0" fillId="163" borderId="2" xfId="0" applyFill="1" applyBorder="1"/>
    <xf numFmtId="0" fontId="0" fillId="121" borderId="1" xfId="0" applyFill="1" applyBorder="1"/>
    <xf numFmtId="0" fontId="0" fillId="51" borderId="2" xfId="0" applyFill="1" applyBorder="1"/>
    <xf numFmtId="0" fontId="0" fillId="14" borderId="1" xfId="0" applyFill="1" applyBorder="1"/>
    <xf numFmtId="0" fontId="0" fillId="177" borderId="1" xfId="0" applyFill="1" applyBorder="1"/>
    <xf numFmtId="0" fontId="0" fillId="180" borderId="0" xfId="0" applyFill="1"/>
    <xf numFmtId="0" fontId="0" fillId="185" borderId="0" xfId="0" applyFill="1"/>
    <xf numFmtId="0" fontId="0" fillId="34" borderId="1" xfId="0" applyFill="1" applyBorder="1"/>
    <xf numFmtId="0" fontId="0" fillId="103" borderId="0" xfId="0" applyFill="1"/>
    <xf numFmtId="0" fontId="0" fillId="77" borderId="0" xfId="0" applyFill="1"/>
    <xf numFmtId="0" fontId="0" fillId="10" borderId="0" xfId="0" applyFill="1"/>
    <xf numFmtId="0" fontId="0" fillId="117" borderId="0" xfId="0" applyFill="1"/>
    <xf numFmtId="0" fontId="0" fillId="122" borderId="0" xfId="0" applyFill="1"/>
    <xf numFmtId="0" fontId="0" fillId="181" borderId="0" xfId="0" applyFill="1"/>
    <xf numFmtId="0" fontId="0" fillId="109" borderId="0" xfId="0" applyFill="1"/>
    <xf numFmtId="0" fontId="0" fillId="188" borderId="0" xfId="0" applyFill="1"/>
    <xf numFmtId="0" fontId="0" fillId="26" borderId="0" xfId="0" applyFill="1"/>
    <xf numFmtId="0" fontId="0" fillId="88" borderId="0" xfId="0" applyFill="1"/>
    <xf numFmtId="0" fontId="0" fillId="82" borderId="0" xfId="0" applyFill="1"/>
    <xf numFmtId="0" fontId="0" fillId="72" borderId="0" xfId="0" applyFill="1"/>
    <xf numFmtId="0" fontId="0" fillId="73" borderId="0" xfId="0" applyFill="1"/>
    <xf numFmtId="0" fontId="0" fillId="135" borderId="0" xfId="0" applyFill="1"/>
    <xf numFmtId="0" fontId="0" fillId="151" borderId="0" xfId="0" applyFill="1"/>
    <xf numFmtId="0" fontId="0" fillId="102" borderId="0" xfId="0" applyFill="1"/>
    <xf numFmtId="0" fontId="0" fillId="89" borderId="0" xfId="0" applyFill="1"/>
    <xf numFmtId="0" fontId="0" fillId="35" borderId="0" xfId="0" applyFill="1"/>
    <xf numFmtId="0" fontId="0" fillId="113" borderId="0" xfId="0" applyFill="1"/>
    <xf numFmtId="0" fontId="0" fillId="156" borderId="0" xfId="0" applyFill="1"/>
    <xf numFmtId="0" fontId="0" fillId="174" borderId="0" xfId="0" applyFill="1"/>
    <xf numFmtId="0" fontId="0" fillId="114" borderId="0" xfId="0" applyFill="1"/>
    <xf numFmtId="0" fontId="0" fillId="125" borderId="0" xfId="0" applyFill="1"/>
    <xf numFmtId="0" fontId="0" fillId="119" borderId="0" xfId="0" applyFill="1"/>
    <xf numFmtId="0" fontId="0" fillId="116" borderId="0" xfId="0" applyFill="1"/>
    <xf numFmtId="0" fontId="0" fillId="147" borderId="0" xfId="0" applyFill="1"/>
    <xf numFmtId="0" fontId="0" fillId="115" borderId="0" xfId="0" applyFill="1"/>
    <xf numFmtId="0" fontId="0" fillId="157" borderId="0" xfId="0" applyFill="1"/>
    <xf numFmtId="0" fontId="0" fillId="96" borderId="0" xfId="0" applyFill="1"/>
    <xf numFmtId="0" fontId="0" fillId="167" borderId="0" xfId="0" applyFill="1"/>
    <xf numFmtId="0" fontId="0" fillId="131" borderId="0" xfId="0" applyFill="1"/>
    <xf numFmtId="0" fontId="0" fillId="176" borderId="0" xfId="0" applyFill="1"/>
    <xf numFmtId="0" fontId="0" fillId="84" borderId="0" xfId="0" applyFill="1"/>
    <xf numFmtId="164" fontId="0" fillId="8" borderId="6" xfId="0" applyNumberFormat="1" applyFill="1" applyBorder="1" applyAlignment="1">
      <alignment horizontal="center"/>
    </xf>
    <xf numFmtId="164" fontId="0" fillId="24" borderId="6" xfId="0" applyNumberFormat="1" applyFill="1" applyBorder="1" applyAlignment="1">
      <alignment horizontal="center"/>
    </xf>
    <xf numFmtId="164" fontId="0" fillId="57" borderId="4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58" borderId="4" xfId="0" applyNumberFormat="1" applyFill="1" applyBorder="1" applyAlignment="1">
      <alignment horizontal="center"/>
    </xf>
    <xf numFmtId="164" fontId="0" fillId="9" borderId="4" xfId="0" applyNumberFormat="1" applyFill="1" applyBorder="1" applyAlignment="1">
      <alignment horizontal="center"/>
    </xf>
    <xf numFmtId="164" fontId="0" fillId="35" borderId="4" xfId="0" applyNumberForma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127" borderId="1" xfId="0" applyFill="1" applyBorder="1"/>
    <xf numFmtId="0" fontId="0" fillId="136" borderId="1" xfId="0" applyFill="1" applyBorder="1"/>
    <xf numFmtId="0" fontId="0" fillId="192" borderId="0" xfId="0" applyFill="1"/>
    <xf numFmtId="0" fontId="0" fillId="193" borderId="0" xfId="0" applyFill="1"/>
    <xf numFmtId="0" fontId="0" fillId="122" borderId="2" xfId="0" applyFill="1" applyBorder="1"/>
    <xf numFmtId="0" fontId="0" fillId="198" borderId="1" xfId="0" applyFill="1" applyBorder="1"/>
    <xf numFmtId="0" fontId="0" fillId="153" borderId="2" xfId="0" applyFill="1" applyBorder="1"/>
    <xf numFmtId="0" fontId="0" fillId="199" borderId="1" xfId="0" applyFill="1" applyBorder="1"/>
    <xf numFmtId="0" fontId="0" fillId="200" borderId="0" xfId="0" applyFill="1"/>
    <xf numFmtId="0" fontId="0" fillId="203" borderId="0" xfId="0" applyFill="1"/>
    <xf numFmtId="0" fontId="0" fillId="193" borderId="2" xfId="0" applyFill="1" applyBorder="1"/>
    <xf numFmtId="0" fontId="0" fillId="183" borderId="0" xfId="0" applyFill="1"/>
    <xf numFmtId="0" fontId="0" fillId="113" borderId="1" xfId="0" applyFill="1" applyBorder="1"/>
    <xf numFmtId="164" fontId="0" fillId="121" borderId="4" xfId="0" applyNumberFormat="1" applyFill="1" applyBorder="1" applyAlignment="1">
      <alignment horizontal="center"/>
    </xf>
    <xf numFmtId="164" fontId="0" fillId="189" borderId="4" xfId="0" applyNumberFormat="1" applyFill="1" applyBorder="1" applyAlignment="1">
      <alignment horizontal="center"/>
    </xf>
    <xf numFmtId="164" fontId="0" fillId="92" borderId="6" xfId="0" applyNumberFormat="1" applyFill="1" applyBorder="1" applyAlignment="1">
      <alignment horizontal="center"/>
    </xf>
    <xf numFmtId="164" fontId="0" fillId="191" borderId="4" xfId="0" applyNumberFormat="1" applyFill="1" applyBorder="1" applyAlignment="1">
      <alignment horizontal="center"/>
    </xf>
    <xf numFmtId="164" fontId="0" fillId="87" borderId="5" xfId="0" applyNumberFormat="1" applyFill="1" applyBorder="1" applyAlignment="1">
      <alignment horizontal="center"/>
    </xf>
    <xf numFmtId="164" fontId="0" fillId="146" borderId="6" xfId="0" applyNumberFormat="1" applyFill="1" applyBorder="1" applyAlignment="1">
      <alignment horizontal="center"/>
    </xf>
    <xf numFmtId="164" fontId="0" fillId="89" borderId="4" xfId="0" applyNumberFormat="1" applyFill="1" applyBorder="1" applyAlignment="1">
      <alignment horizontal="center"/>
    </xf>
    <xf numFmtId="164" fontId="0" fillId="85" borderId="5" xfId="0" applyNumberFormat="1" applyFill="1" applyBorder="1" applyAlignment="1">
      <alignment horizontal="center"/>
    </xf>
    <xf numFmtId="164" fontId="0" fillId="195" borderId="5" xfId="0" applyNumberFormat="1" applyFill="1" applyBorder="1" applyAlignment="1">
      <alignment horizontal="center"/>
    </xf>
    <xf numFmtId="164" fontId="0" fillId="54" borderId="6" xfId="0" applyNumberFormat="1" applyFill="1" applyBorder="1" applyAlignment="1">
      <alignment horizontal="center"/>
    </xf>
    <xf numFmtId="164" fontId="0" fillId="97" borderId="6" xfId="0" applyNumberFormat="1" applyFill="1" applyBorder="1" applyAlignment="1">
      <alignment horizontal="center"/>
    </xf>
    <xf numFmtId="164" fontId="0" fillId="102" borderId="5" xfId="0" applyNumberFormat="1" applyFill="1" applyBorder="1" applyAlignment="1">
      <alignment horizontal="center"/>
    </xf>
    <xf numFmtId="164" fontId="0" fillId="23" borderId="4" xfId="0" applyNumberFormat="1" applyFill="1" applyBorder="1" applyAlignment="1">
      <alignment horizontal="center"/>
    </xf>
    <xf numFmtId="164" fontId="0" fillId="77" borderId="6" xfId="0" applyNumberFormat="1" applyFill="1" applyBorder="1" applyAlignment="1">
      <alignment horizontal="center"/>
    </xf>
    <xf numFmtId="164" fontId="0" fillId="127" borderId="4" xfId="0" applyNumberFormat="1" applyFill="1" applyBorder="1" applyAlignment="1">
      <alignment horizontal="center"/>
    </xf>
    <xf numFmtId="164" fontId="0" fillId="142" borderId="5" xfId="0" applyNumberFormat="1" applyFill="1" applyBorder="1" applyAlignment="1">
      <alignment horizontal="center"/>
    </xf>
    <xf numFmtId="164" fontId="0" fillId="50" borderId="6" xfId="0" applyNumberFormat="1" applyFill="1" applyBorder="1" applyAlignment="1">
      <alignment horizontal="center"/>
    </xf>
    <xf numFmtId="164" fontId="0" fillId="143" borderId="6" xfId="0" applyNumberFormat="1" applyFill="1" applyBorder="1" applyAlignment="1">
      <alignment horizontal="center"/>
    </xf>
    <xf numFmtId="164" fontId="0" fillId="202" borderId="5" xfId="0" applyNumberFormat="1" applyFill="1" applyBorder="1" applyAlignment="1">
      <alignment horizontal="center"/>
    </xf>
    <xf numFmtId="164" fontId="0" fillId="35" borderId="6" xfId="0" applyNumberFormat="1" applyFill="1" applyBorder="1" applyAlignment="1">
      <alignment horizontal="center"/>
    </xf>
    <xf numFmtId="164" fontId="0" fillId="210" borderId="4" xfId="0" applyNumberFormat="1" applyFill="1" applyBorder="1" applyAlignment="1">
      <alignment horizontal="center"/>
    </xf>
    <xf numFmtId="164" fontId="0" fillId="178" borderId="5" xfId="0" applyNumberFormat="1" applyFill="1" applyBorder="1" applyAlignment="1">
      <alignment horizontal="center"/>
    </xf>
    <xf numFmtId="164" fontId="0" fillId="155" borderId="5" xfId="0" applyNumberFormat="1" applyFill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164" fontId="0" fillId="0" borderId="0" xfId="0" applyNumberFormat="1"/>
    <xf numFmtId="164" fontId="0" fillId="3" borderId="2" xfId="0" applyNumberFormat="1" applyFill="1" applyBorder="1"/>
    <xf numFmtId="164" fontId="0" fillId="2" borderId="2" xfId="0" applyNumberFormat="1" applyFill="1" applyBorder="1"/>
    <xf numFmtId="164" fontId="0" fillId="2" borderId="0" xfId="0" applyNumberFormat="1" applyFill="1"/>
    <xf numFmtId="164" fontId="0" fillId="3" borderId="0" xfId="0" applyNumberFormat="1" applyFill="1"/>
    <xf numFmtId="164" fontId="0" fillId="4" borderId="1" xfId="0" applyNumberFormat="1" applyFill="1" applyBorder="1"/>
    <xf numFmtId="164" fontId="0" fillId="4" borderId="0" xfId="0" applyNumberFormat="1" applyFill="1"/>
    <xf numFmtId="164" fontId="0" fillId="2" borderId="1" xfId="0" applyNumberFormat="1" applyFill="1" applyBorder="1"/>
    <xf numFmtId="164" fontId="0" fillId="4" borderId="2" xfId="0" applyNumberFormat="1" applyFill="1" applyBorder="1"/>
    <xf numFmtId="164" fontId="0" fillId="3" borderId="1" xfId="0" applyNumberFormat="1" applyFill="1" applyBorder="1"/>
    <xf numFmtId="164" fontId="0" fillId="79" borderId="2" xfId="0" applyNumberFormat="1" applyFill="1" applyBorder="1"/>
    <xf numFmtId="164" fontId="0" fillId="80" borderId="2" xfId="0" applyNumberFormat="1" applyFill="1" applyBorder="1"/>
    <xf numFmtId="164" fontId="0" fillId="12" borderId="2" xfId="0" applyNumberFormat="1" applyFill="1" applyBorder="1"/>
    <xf numFmtId="164" fontId="0" fillId="81" borderId="2" xfId="0" applyNumberFormat="1" applyFill="1" applyBorder="1"/>
    <xf numFmtId="164" fontId="0" fillId="13" borderId="2" xfId="0" applyNumberFormat="1" applyFill="1" applyBorder="1"/>
    <xf numFmtId="164" fontId="0" fillId="83" borderId="0" xfId="0" applyNumberFormat="1" applyFill="1"/>
    <xf numFmtId="164" fontId="0" fillId="14" borderId="0" xfId="0" applyNumberFormat="1" applyFill="1"/>
    <xf numFmtId="164" fontId="0" fillId="85" borderId="0" xfId="0" applyNumberFormat="1" applyFill="1"/>
    <xf numFmtId="164" fontId="0" fillId="15" borderId="0" xfId="0" applyNumberFormat="1" applyFill="1"/>
    <xf numFmtId="164" fontId="0" fillId="26" borderId="1" xfId="0" applyNumberFormat="1" applyFill="1" applyBorder="1"/>
    <xf numFmtId="164" fontId="0" fillId="16" borderId="2" xfId="0" applyNumberFormat="1" applyFill="1" applyBorder="1"/>
    <xf numFmtId="164" fontId="0" fillId="17" borderId="2" xfId="0" applyNumberFormat="1" applyFill="1" applyBorder="1"/>
    <xf numFmtId="164" fontId="0" fillId="47" borderId="0" xfId="0" applyNumberFormat="1" applyFill="1"/>
    <xf numFmtId="164" fontId="0" fillId="18" borderId="0" xfId="0" applyNumberFormat="1" applyFill="1"/>
    <xf numFmtId="164" fontId="0" fillId="27" borderId="0" xfId="0" applyNumberFormat="1" applyFill="1"/>
    <xf numFmtId="164" fontId="0" fillId="19" borderId="0" xfId="0" applyNumberFormat="1" applyFill="1"/>
    <xf numFmtId="164" fontId="0" fillId="58" borderId="0" xfId="0" applyNumberFormat="1" applyFill="1"/>
    <xf numFmtId="164" fontId="0" fillId="90" borderId="0" xfId="0" applyNumberFormat="1" applyFill="1"/>
    <xf numFmtId="164" fontId="0" fillId="91" borderId="0" xfId="0" applyNumberFormat="1" applyFill="1"/>
    <xf numFmtId="164" fontId="0" fillId="92" borderId="1" xfId="0" applyNumberFormat="1" applyFill="1" applyBorder="1"/>
    <xf numFmtId="164" fontId="0" fillId="54" borderId="2" xfId="0" applyNumberFormat="1" applyFill="1" applyBorder="1"/>
    <xf numFmtId="164" fontId="0" fillId="94" borderId="2" xfId="0" applyNumberFormat="1" applyFill="1" applyBorder="1"/>
    <xf numFmtId="164" fontId="0" fillId="95" borderId="0" xfId="0" applyNumberFormat="1" applyFill="1"/>
    <xf numFmtId="164" fontId="0" fillId="20" borderId="0" xfId="0" applyNumberFormat="1" applyFill="1"/>
    <xf numFmtId="164" fontId="0" fillId="97" borderId="0" xfId="0" applyNumberFormat="1" applyFill="1"/>
    <xf numFmtId="164" fontId="0" fillId="98" borderId="0" xfId="0" applyNumberFormat="1" applyFill="1"/>
    <xf numFmtId="164" fontId="0" fillId="21" borderId="0" xfId="0" applyNumberFormat="1" applyFill="1"/>
    <xf numFmtId="164" fontId="0" fillId="22" borderId="1" xfId="0" applyNumberFormat="1" applyFill="1" applyBorder="1"/>
    <xf numFmtId="164" fontId="0" fillId="23" borderId="1" xfId="0" applyNumberFormat="1" applyFill="1" applyBorder="1"/>
    <xf numFmtId="164" fontId="0" fillId="100" borderId="2" xfId="0" applyNumberFormat="1" applyFill="1" applyBorder="1"/>
    <xf numFmtId="164" fontId="0" fillId="101" borderId="2" xfId="0" applyNumberFormat="1" applyFill="1" applyBorder="1"/>
    <xf numFmtId="164" fontId="0" fillId="24" borderId="2" xfId="0" applyNumberFormat="1" applyFill="1" applyBorder="1"/>
    <xf numFmtId="164" fontId="0" fillId="25" borderId="2" xfId="0" applyNumberFormat="1" applyFill="1" applyBorder="1"/>
    <xf numFmtId="164" fontId="0" fillId="26" borderId="0" xfId="0" applyNumberFormat="1" applyFill="1"/>
    <xf numFmtId="164" fontId="0" fillId="104" borderId="0" xfId="0" applyNumberFormat="1" applyFill="1"/>
    <xf numFmtId="164" fontId="0" fillId="76" borderId="0" xfId="0" applyNumberFormat="1" applyFill="1"/>
    <xf numFmtId="164" fontId="0" fillId="105" borderId="0" xfId="0" applyNumberFormat="1" applyFill="1"/>
    <xf numFmtId="164" fontId="0" fillId="106" borderId="0" xfId="0" applyNumberFormat="1" applyFill="1"/>
    <xf numFmtId="164" fontId="0" fillId="107" borderId="2" xfId="0" applyNumberFormat="1" applyFill="1" applyBorder="1"/>
    <xf numFmtId="164" fontId="0" fillId="108" borderId="2" xfId="0" applyNumberFormat="1" applyFill="1" applyBorder="1"/>
    <xf numFmtId="164" fontId="0" fillId="58" borderId="2" xfId="0" applyNumberFormat="1" applyFill="1" applyBorder="1"/>
    <xf numFmtId="164" fontId="0" fillId="28" borderId="2" xfId="0" applyNumberFormat="1" applyFill="1" applyBorder="1"/>
    <xf numFmtId="164" fontId="0" fillId="29" borderId="0" xfId="0" applyNumberFormat="1" applyFill="1"/>
    <xf numFmtId="164" fontId="0" fillId="110" borderId="0" xfId="0" applyNumberFormat="1" applyFill="1"/>
    <xf numFmtId="164" fontId="0" fillId="30" borderId="0" xfId="0" applyNumberFormat="1" applyFill="1"/>
    <xf numFmtId="164" fontId="0" fillId="61" borderId="1" xfId="0" applyNumberFormat="1" applyFill="1" applyBorder="1"/>
    <xf numFmtId="164" fontId="0" fillId="31" borderId="2" xfId="0" applyNumberFormat="1" applyFill="1" applyBorder="1"/>
    <xf numFmtId="164" fontId="0" fillId="112" borderId="0" xfId="0" applyNumberFormat="1" applyFill="1"/>
    <xf numFmtId="164" fontId="0" fillId="115" borderId="0" xfId="0" applyNumberFormat="1" applyFill="1"/>
    <xf numFmtId="164" fontId="0" fillId="81" borderId="0" xfId="0" applyNumberFormat="1" applyFill="1"/>
    <xf numFmtId="164" fontId="0" fillId="32" borderId="0" xfId="0" applyNumberFormat="1" applyFill="1"/>
    <xf numFmtId="164" fontId="0" fillId="117" borderId="0" xfId="0" applyNumberFormat="1" applyFill="1"/>
    <xf numFmtId="164" fontId="0" fillId="72" borderId="0" xfId="0" applyNumberFormat="1" applyFill="1"/>
    <xf numFmtId="164" fontId="0" fillId="33" borderId="0" xfId="0" applyNumberFormat="1" applyFill="1"/>
    <xf numFmtId="164" fontId="0" fillId="118" borderId="0" xfId="0" applyNumberFormat="1" applyFill="1"/>
    <xf numFmtId="164" fontId="0" fillId="87" borderId="0" xfId="0" applyNumberFormat="1" applyFill="1"/>
    <xf numFmtId="164" fontId="0" fillId="34" borderId="0" xfId="0" applyNumberFormat="1" applyFill="1"/>
    <xf numFmtId="164" fontId="0" fillId="120" borderId="0" xfId="0" applyNumberFormat="1" applyFill="1"/>
    <xf numFmtId="164" fontId="0" fillId="121" borderId="0" xfId="0" applyNumberFormat="1" applyFill="1"/>
    <xf numFmtId="164" fontId="0" fillId="35" borderId="0" xfId="0" applyNumberFormat="1" applyFill="1"/>
    <xf numFmtId="164" fontId="0" fillId="88" borderId="0" xfId="0" applyNumberFormat="1" applyFill="1"/>
    <xf numFmtId="164" fontId="0" fillId="123" borderId="0" xfId="0" applyNumberFormat="1" applyFill="1"/>
    <xf numFmtId="164" fontId="0" fillId="36" borderId="0" xfId="0" applyNumberFormat="1" applyFill="1"/>
    <xf numFmtId="164" fontId="0" fillId="37" borderId="1" xfId="0" applyNumberFormat="1" applyFill="1" applyBorder="1"/>
    <xf numFmtId="164" fontId="0" fillId="124" borderId="0" xfId="0" applyNumberFormat="1" applyFill="1"/>
    <xf numFmtId="164" fontId="0" fillId="38" borderId="0" xfId="0" applyNumberFormat="1" applyFill="1"/>
    <xf numFmtId="164" fontId="0" fillId="107" borderId="0" xfId="0" applyNumberFormat="1" applyFill="1"/>
    <xf numFmtId="164" fontId="0" fillId="39" borderId="0" xfId="0" applyNumberFormat="1" applyFill="1"/>
    <xf numFmtId="164" fontId="0" fillId="16" borderId="0" xfId="0" applyNumberFormat="1" applyFill="1"/>
    <xf numFmtId="164" fontId="0" fillId="40" borderId="0" xfId="0" applyNumberFormat="1" applyFill="1"/>
    <xf numFmtId="164" fontId="0" fillId="127" borderId="2" xfId="0" applyNumberFormat="1" applyFill="1" applyBorder="1"/>
    <xf numFmtId="164" fontId="0" fillId="128" borderId="2" xfId="0" applyNumberFormat="1" applyFill="1" applyBorder="1"/>
    <xf numFmtId="164" fontId="0" fillId="129" borderId="2" xfId="0" applyNumberFormat="1" applyFill="1" applyBorder="1"/>
    <xf numFmtId="164" fontId="0" fillId="41" borderId="2" xfId="0" applyNumberFormat="1" applyFill="1" applyBorder="1"/>
    <xf numFmtId="164" fontId="0" fillId="132" borderId="0" xfId="0" applyNumberFormat="1" applyFill="1"/>
    <xf numFmtId="164" fontId="0" fillId="42" borderId="0" xfId="0" applyNumberFormat="1" applyFill="1"/>
    <xf numFmtId="164" fontId="0" fillId="82" borderId="0" xfId="0" applyNumberFormat="1" applyFill="1"/>
    <xf numFmtId="164" fontId="0" fillId="43" borderId="0" xfId="0" applyNumberFormat="1" applyFill="1"/>
    <xf numFmtId="164" fontId="0" fillId="134" borderId="2" xfId="0" applyNumberFormat="1" applyFill="1" applyBorder="1"/>
    <xf numFmtId="164" fontId="0" fillId="44" borderId="2" xfId="0" applyNumberFormat="1" applyFill="1" applyBorder="1"/>
    <xf numFmtId="164" fontId="0" fillId="117" borderId="2" xfId="0" applyNumberFormat="1" applyFill="1" applyBorder="1"/>
    <xf numFmtId="164" fontId="0" fillId="136" borderId="0" xfId="0" applyNumberFormat="1" applyFill="1"/>
    <xf numFmtId="164" fontId="0" fillId="137" borderId="0" xfId="0" applyNumberFormat="1" applyFill="1"/>
    <xf numFmtId="164" fontId="0" fillId="138" borderId="0" xfId="0" applyNumberFormat="1" applyFill="1"/>
    <xf numFmtId="164" fontId="0" fillId="45" borderId="0" xfId="0" applyNumberFormat="1" applyFill="1"/>
    <xf numFmtId="164" fontId="0" fillId="105" borderId="2" xfId="0" applyNumberFormat="1" applyFill="1" applyBorder="1"/>
    <xf numFmtId="164" fontId="0" fillId="46" borderId="2" xfId="0" applyNumberFormat="1" applyFill="1" applyBorder="1"/>
    <xf numFmtId="164" fontId="0" fillId="141" borderId="0" xfId="0" applyNumberFormat="1" applyFill="1"/>
    <xf numFmtId="164" fontId="0" fillId="142" borderId="0" xfId="0" applyNumberFormat="1" applyFill="1"/>
    <xf numFmtId="164" fontId="0" fillId="143" borderId="0" xfId="0" applyNumberFormat="1" applyFill="1"/>
    <xf numFmtId="164" fontId="0" fillId="25" borderId="0" xfId="0" applyNumberFormat="1" applyFill="1"/>
    <xf numFmtId="164" fontId="0" fillId="101" borderId="0" xfId="0" applyNumberFormat="1" applyFill="1"/>
    <xf numFmtId="164" fontId="0" fillId="80" borderId="0" xfId="0" applyNumberFormat="1" applyFill="1"/>
    <xf numFmtId="164" fontId="0" fillId="47" borderId="1" xfId="0" applyNumberFormat="1" applyFill="1" applyBorder="1"/>
    <xf numFmtId="164" fontId="0" fillId="140" borderId="2" xfId="0" applyNumberFormat="1" applyFill="1" applyBorder="1"/>
    <xf numFmtId="164" fontId="0" fillId="146" borderId="0" xfId="0" applyNumberFormat="1" applyFill="1"/>
    <xf numFmtId="164" fontId="0" fillId="48" borderId="0" xfId="0" applyNumberFormat="1" applyFill="1"/>
    <xf numFmtId="164" fontId="0" fillId="54" borderId="0" xfId="0" applyNumberFormat="1" applyFill="1"/>
    <xf numFmtId="164" fontId="0" fillId="147" borderId="0" xfId="0" applyNumberFormat="1" applyFill="1"/>
    <xf numFmtId="164" fontId="0" fillId="49" borderId="0" xfId="0" applyNumberFormat="1" applyFill="1"/>
    <xf numFmtId="164" fontId="0" fillId="148" borderId="1" xfId="0" applyNumberFormat="1" applyFill="1" applyBorder="1"/>
    <xf numFmtId="164" fontId="0" fillId="50" borderId="1" xfId="0" applyNumberFormat="1" applyFill="1" applyBorder="1"/>
    <xf numFmtId="164" fontId="0" fillId="51" borderId="1" xfId="0" applyNumberFormat="1" applyFill="1" applyBorder="1"/>
    <xf numFmtId="164" fontId="0" fillId="149" borderId="0" xfId="0" applyNumberFormat="1" applyFill="1"/>
    <xf numFmtId="164" fontId="0" fillId="52" borderId="0" xfId="0" applyNumberFormat="1" applyFill="1"/>
    <xf numFmtId="164" fontId="0" fillId="53" borderId="0" xfId="0" applyNumberFormat="1" applyFill="1"/>
    <xf numFmtId="164" fontId="0" fillId="79" borderId="0" xfId="0" applyNumberFormat="1" applyFill="1"/>
    <xf numFmtId="164" fontId="0" fillId="152" borderId="0" xfId="0" applyNumberFormat="1" applyFill="1"/>
    <xf numFmtId="164" fontId="0" fillId="153" borderId="0" xfId="0" applyNumberFormat="1" applyFill="1"/>
    <xf numFmtId="164" fontId="0" fillId="154" borderId="0" xfId="0" applyNumberFormat="1" applyFill="1"/>
    <xf numFmtId="164" fontId="0" fillId="10" borderId="1" xfId="0" applyNumberFormat="1" applyFill="1" applyBorder="1"/>
    <xf numFmtId="164" fontId="0" fillId="155" borderId="0" xfId="0" applyNumberFormat="1" applyFill="1"/>
    <xf numFmtId="164" fontId="0" fillId="55" borderId="0" xfId="0" applyNumberFormat="1" applyFill="1"/>
    <xf numFmtId="164" fontId="0" fillId="56" borderId="0" xfId="0" applyNumberFormat="1" applyFill="1"/>
    <xf numFmtId="164" fontId="0" fillId="28" borderId="0" xfId="0" applyNumberFormat="1" applyFill="1"/>
    <xf numFmtId="164" fontId="0" fillId="57" borderId="0" xfId="0" applyNumberFormat="1" applyFill="1"/>
    <xf numFmtId="164" fontId="0" fillId="157" borderId="0" xfId="0" applyNumberFormat="1" applyFill="1"/>
    <xf numFmtId="164" fontId="0" fillId="128" borderId="0" xfId="0" applyNumberFormat="1" applyFill="1"/>
    <xf numFmtId="164" fontId="0" fillId="59" borderId="2" xfId="0" applyNumberFormat="1" applyFill="1" applyBorder="1"/>
    <xf numFmtId="164" fontId="0" fillId="50" borderId="0" xfId="0" applyNumberFormat="1" applyFill="1"/>
    <xf numFmtId="164" fontId="0" fillId="60" borderId="0" xfId="0" applyNumberFormat="1" applyFill="1"/>
    <xf numFmtId="164" fontId="0" fillId="158" borderId="0" xfId="0" applyNumberFormat="1" applyFill="1"/>
    <xf numFmtId="164" fontId="0" fillId="61" borderId="0" xfId="0" applyNumberFormat="1" applyFill="1"/>
    <xf numFmtId="164" fontId="0" fillId="160" borderId="0" xfId="0" applyNumberFormat="1" applyFill="1"/>
    <xf numFmtId="164" fontId="0" fillId="161" borderId="0" xfId="0" applyNumberFormat="1" applyFill="1"/>
    <xf numFmtId="164" fontId="0" fillId="162" borderId="0" xfId="0" applyNumberFormat="1" applyFill="1"/>
    <xf numFmtId="164" fontId="0" fillId="164" borderId="2" xfId="0" applyNumberFormat="1" applyFill="1" applyBorder="1"/>
    <xf numFmtId="164" fontId="0" fillId="165" borderId="2" xfId="0" applyNumberFormat="1" applyFill="1" applyBorder="1"/>
    <xf numFmtId="164" fontId="0" fillId="62" borderId="0" xfId="0" applyNumberFormat="1" applyFill="1"/>
    <xf numFmtId="164" fontId="0" fillId="166" borderId="0" xfId="0" applyNumberFormat="1" applyFill="1"/>
    <xf numFmtId="164" fontId="0" fillId="63" borderId="0" xfId="0" applyNumberFormat="1" applyFill="1"/>
    <xf numFmtId="164" fontId="0" fillId="168" borderId="0" xfId="0" applyNumberFormat="1" applyFill="1"/>
    <xf numFmtId="164" fontId="0" fillId="64" borderId="1" xfId="0" applyNumberFormat="1" applyFill="1" applyBorder="1"/>
    <xf numFmtId="164" fontId="0" fillId="65" borderId="1" xfId="0" applyNumberFormat="1" applyFill="1" applyBorder="1"/>
    <xf numFmtId="164" fontId="0" fillId="169" borderId="2" xfId="0" applyNumberFormat="1" applyFill="1" applyBorder="1"/>
    <xf numFmtId="164" fontId="0" fillId="170" borderId="2" xfId="0" applyNumberFormat="1" applyFill="1" applyBorder="1"/>
    <xf numFmtId="164" fontId="0" fillId="66" borderId="2" xfId="0" applyNumberFormat="1" applyFill="1" applyBorder="1"/>
    <xf numFmtId="164" fontId="0" fillId="67" borderId="0" xfId="0" applyNumberFormat="1" applyFill="1"/>
    <xf numFmtId="164" fontId="0" fillId="171" borderId="0" xfId="0" applyNumberFormat="1" applyFill="1"/>
    <xf numFmtId="164" fontId="0" fillId="172" borderId="0" xfId="0" applyNumberFormat="1" applyFill="1"/>
    <xf numFmtId="164" fontId="0" fillId="173" borderId="0" xfId="0" applyNumberFormat="1" applyFill="1"/>
    <xf numFmtId="164" fontId="0" fillId="68" borderId="0" xfId="0" applyNumberFormat="1" applyFill="1"/>
    <xf numFmtId="164" fontId="0" fillId="175" borderId="0" xfId="0" applyNumberFormat="1" applyFill="1"/>
    <xf numFmtId="164" fontId="0" fillId="69" borderId="0" xfId="0" applyNumberFormat="1" applyFill="1"/>
    <xf numFmtId="164" fontId="0" fillId="70" borderId="2" xfId="0" applyNumberFormat="1" applyFill="1" applyBorder="1"/>
    <xf numFmtId="164" fontId="0" fillId="71" borderId="2" xfId="0" applyNumberFormat="1" applyFill="1" applyBorder="1"/>
    <xf numFmtId="164" fontId="0" fillId="96" borderId="0" xfId="0" applyNumberFormat="1" applyFill="1"/>
    <xf numFmtId="164" fontId="0" fillId="72" borderId="1" xfId="0" applyNumberFormat="1" applyFill="1" applyBorder="1"/>
    <xf numFmtId="164" fontId="0" fillId="73" borderId="1" xfId="0" applyNumberFormat="1" applyFill="1" applyBorder="1"/>
    <xf numFmtId="164" fontId="0" fillId="139" borderId="0" xfId="0" applyNumberFormat="1" applyFill="1"/>
    <xf numFmtId="164" fontId="0" fillId="8" borderId="0" xfId="0" applyNumberFormat="1" applyFill="1"/>
    <xf numFmtId="164" fontId="0" fillId="74" borderId="0" xfId="0" applyNumberFormat="1" applyFill="1"/>
    <xf numFmtId="164" fontId="0" fillId="91" borderId="1" xfId="0" applyNumberFormat="1" applyFill="1" applyBorder="1"/>
    <xf numFmtId="164" fontId="0" fillId="14" borderId="1" xfId="0" applyNumberFormat="1" applyFill="1" applyBorder="1"/>
    <xf numFmtId="164" fontId="0" fillId="75" borderId="1" xfId="0" applyNumberFormat="1" applyFill="1" applyBorder="1"/>
    <xf numFmtId="164" fontId="0" fillId="178" borderId="0" xfId="0" applyNumberFormat="1" applyFill="1"/>
    <xf numFmtId="164" fontId="0" fillId="179" borderId="0" xfId="0" applyNumberFormat="1" applyFill="1"/>
    <xf numFmtId="164" fontId="0" fillId="66" borderId="0" xfId="0" applyNumberFormat="1" applyFill="1"/>
    <xf numFmtId="164" fontId="0" fillId="182" borderId="0" xfId="0" applyNumberFormat="1" applyFill="1"/>
    <xf numFmtId="164" fontId="0" fillId="183" borderId="1" xfId="0" applyNumberFormat="1" applyFill="1" applyBorder="1"/>
    <xf numFmtId="164" fontId="0" fillId="77" borderId="1" xfId="0" applyNumberFormat="1" applyFill="1" applyBorder="1"/>
    <xf numFmtId="164" fontId="0" fillId="184" borderId="0" xfId="0" applyNumberFormat="1" applyFill="1"/>
    <xf numFmtId="164" fontId="0" fillId="9" borderId="0" xfId="0" applyNumberFormat="1" applyFill="1"/>
    <xf numFmtId="164" fontId="0" fillId="11" borderId="1" xfId="0" applyNumberFormat="1" applyFill="1" applyBorder="1"/>
    <xf numFmtId="164" fontId="0" fillId="5" borderId="0" xfId="0" applyNumberFormat="1" applyFill="1"/>
    <xf numFmtId="164" fontId="0" fillId="186" borderId="0" xfId="0" applyNumberFormat="1" applyFill="1"/>
    <xf numFmtId="164" fontId="0" fillId="187" borderId="0" xfId="0" applyNumberFormat="1" applyFill="1"/>
    <xf numFmtId="164" fontId="0" fillId="23" borderId="0" xfId="0" applyNumberFormat="1" applyFill="1"/>
    <xf numFmtId="164" fontId="0" fillId="73" borderId="0" xfId="0" applyNumberFormat="1" applyFill="1"/>
    <xf numFmtId="164" fontId="0" fillId="6" borderId="0" xfId="0" applyNumberFormat="1" applyFill="1"/>
    <xf numFmtId="164" fontId="0" fillId="7" borderId="1" xfId="0" applyNumberFormat="1" applyFill="1" applyBorder="1"/>
    <xf numFmtId="164" fontId="0" fillId="125" borderId="2" xfId="0" applyNumberFormat="1" applyFill="1" applyBorder="1"/>
    <xf numFmtId="164" fontId="0" fillId="68" borderId="2" xfId="0" applyNumberFormat="1" applyFill="1" applyBorder="1"/>
    <xf numFmtId="164" fontId="0" fillId="130" borderId="0" xfId="0" applyNumberFormat="1" applyFill="1"/>
    <xf numFmtId="164" fontId="0" fillId="174" borderId="0" xfId="0" applyNumberFormat="1" applyFill="1"/>
    <xf numFmtId="164" fontId="0" fillId="189" borderId="0" xfId="0" applyNumberFormat="1" applyFill="1"/>
    <xf numFmtId="164" fontId="0" fillId="184" borderId="2" xfId="0" applyNumberFormat="1" applyFill="1" applyBorder="1"/>
    <xf numFmtId="164" fontId="0" fillId="92" borderId="2" xfId="0" applyNumberFormat="1" applyFill="1" applyBorder="1"/>
    <xf numFmtId="164" fontId="0" fillId="44" borderId="0" xfId="0" applyNumberFormat="1" applyFill="1"/>
    <xf numFmtId="164" fontId="0" fillId="190" borderId="0" xfId="0" applyNumberFormat="1" applyFill="1"/>
    <xf numFmtId="164" fontId="0" fillId="135" borderId="0" xfId="0" applyNumberFormat="1" applyFill="1"/>
    <xf numFmtId="164" fontId="0" fillId="191" borderId="0" xfId="0" applyNumberFormat="1" applyFill="1"/>
    <xf numFmtId="164" fontId="0" fillId="87" borderId="1" xfId="0" applyNumberFormat="1" applyFill="1" applyBorder="1"/>
    <xf numFmtId="164" fontId="0" fillId="160" borderId="2" xfId="0" applyNumberFormat="1" applyFill="1" applyBorder="1"/>
    <xf numFmtId="164" fontId="0" fillId="146" borderId="2" xfId="0" applyNumberFormat="1" applyFill="1" applyBorder="1"/>
    <xf numFmtId="164" fontId="0" fillId="103" borderId="0" xfId="0" applyNumberFormat="1" applyFill="1"/>
    <xf numFmtId="164" fontId="0" fillId="194" borderId="0" xfId="0" applyNumberFormat="1" applyFill="1"/>
    <xf numFmtId="164" fontId="0" fillId="89" borderId="0" xfId="0" applyNumberFormat="1" applyFill="1"/>
    <xf numFmtId="164" fontId="0" fillId="85" borderId="1" xfId="0" applyNumberFormat="1" applyFill="1" applyBorder="1"/>
    <xf numFmtId="164" fontId="0" fillId="195" borderId="1" xfId="0" applyNumberFormat="1" applyFill="1" applyBorder="1"/>
    <xf numFmtId="164" fontId="0" fillId="196" borderId="2" xfId="0" applyNumberFormat="1" applyFill="1" applyBorder="1"/>
    <xf numFmtId="164" fontId="0" fillId="97" borderId="2" xfId="0" applyNumberFormat="1" applyFill="1" applyBorder="1"/>
    <xf numFmtId="164" fontId="0" fillId="100" borderId="0" xfId="0" applyNumberFormat="1" applyFill="1"/>
    <xf numFmtId="164" fontId="0" fillId="197" borderId="0" xfId="0" applyNumberFormat="1" applyFill="1"/>
    <xf numFmtId="164" fontId="0" fillId="13" borderId="0" xfId="0" applyNumberFormat="1" applyFill="1"/>
    <xf numFmtId="164" fontId="0" fillId="102" borderId="1" xfId="0" applyNumberFormat="1" applyFill="1" applyBorder="1"/>
    <xf numFmtId="164" fontId="0" fillId="192" borderId="2" xfId="0" applyNumberFormat="1" applyFill="1" applyBorder="1"/>
    <xf numFmtId="164" fontId="0" fillId="185" borderId="2" xfId="0" applyNumberFormat="1" applyFill="1" applyBorder="1"/>
    <xf numFmtId="164" fontId="0" fillId="151" borderId="0" xfId="0" applyNumberFormat="1" applyFill="1"/>
    <xf numFmtId="164" fontId="0" fillId="63" borderId="2" xfId="0" applyNumberFormat="1" applyFill="1" applyBorder="1"/>
    <xf numFmtId="164" fontId="0" fillId="77" borderId="2" xfId="0" applyNumberFormat="1" applyFill="1" applyBorder="1"/>
    <xf numFmtId="164" fontId="0" fillId="201" borderId="0" xfId="0" applyNumberFormat="1" applyFill="1"/>
    <xf numFmtId="164" fontId="0" fillId="127" borderId="0" xfId="0" applyNumberFormat="1" applyFill="1"/>
    <xf numFmtId="164" fontId="0" fillId="202" borderId="0" xfId="0" applyNumberFormat="1" applyFill="1"/>
    <xf numFmtId="164" fontId="0" fillId="204" borderId="0" xfId="0" applyNumberFormat="1" applyFill="1"/>
    <xf numFmtId="164" fontId="0" fillId="142" borderId="1" xfId="0" applyNumberFormat="1" applyFill="1" applyBorder="1"/>
    <xf numFmtId="164" fontId="0" fillId="67" borderId="2" xfId="0" applyNumberFormat="1" applyFill="1" applyBorder="1"/>
    <xf numFmtId="164" fontId="0" fillId="50" borderId="2" xfId="0" applyNumberFormat="1" applyFill="1" applyBorder="1"/>
    <xf numFmtId="164" fontId="0" fillId="143" borderId="2" xfId="0" applyNumberFormat="1" applyFill="1" applyBorder="1"/>
    <xf numFmtId="164" fontId="0" fillId="176" borderId="0" xfId="0" applyNumberFormat="1" applyFill="1"/>
    <xf numFmtId="164" fontId="0" fillId="205" borderId="0" xfId="0" applyNumberFormat="1" applyFill="1"/>
    <xf numFmtId="164" fontId="0" fillId="206" borderId="0" xfId="0" applyNumberFormat="1" applyFill="1"/>
    <xf numFmtId="164" fontId="0" fillId="202" borderId="1" xfId="0" applyNumberFormat="1" applyFill="1" applyBorder="1"/>
    <xf numFmtId="164" fontId="0" fillId="19" borderId="2" xfId="0" applyNumberFormat="1" applyFill="1" applyBorder="1"/>
    <xf numFmtId="164" fontId="0" fillId="35" borderId="2" xfId="0" applyNumberFormat="1" applyFill="1" applyBorder="1"/>
    <xf numFmtId="164" fontId="0" fillId="207" borderId="2" xfId="0" applyNumberFormat="1" applyFill="1" applyBorder="1"/>
    <xf numFmtId="164" fontId="0" fillId="208" borderId="0" xfId="0" applyNumberFormat="1" applyFill="1"/>
    <xf numFmtId="164" fontId="0" fillId="24" borderId="0" xfId="0" applyNumberFormat="1" applyFill="1"/>
    <xf numFmtId="164" fontId="0" fillId="209" borderId="0" xfId="0" applyNumberFormat="1" applyFill="1"/>
    <xf numFmtId="164" fontId="0" fillId="210" borderId="0" xfId="0" applyNumberFormat="1" applyFill="1"/>
    <xf numFmtId="164" fontId="0" fillId="178" borderId="1" xfId="0" applyNumberFormat="1" applyFill="1" applyBorder="1"/>
    <xf numFmtId="164" fontId="0" fillId="155" borderId="1" xfId="0" applyNumberFormat="1" applyFill="1" applyBorder="1"/>
    <xf numFmtId="164" fontId="0" fillId="0" borderId="2" xfId="0" applyNumberFormat="1" applyBorder="1"/>
    <xf numFmtId="164" fontId="0" fillId="0" borderId="1" xfId="0" applyNumberFormat="1" applyBorder="1"/>
    <xf numFmtId="164" fontId="0" fillId="211" borderId="0" xfId="0" applyNumberFormat="1" applyFill="1"/>
    <xf numFmtId="164" fontId="0" fillId="94" borderId="0" xfId="0" applyNumberFormat="1" applyFill="1"/>
    <xf numFmtId="164" fontId="0" fillId="212" borderId="0" xfId="0" applyNumberFormat="1" applyFill="1"/>
    <xf numFmtId="164" fontId="0" fillId="213" borderId="0" xfId="0" applyNumberFormat="1" applyFill="1"/>
    <xf numFmtId="164" fontId="0" fillId="214" borderId="0" xfId="0" applyNumberFormat="1" applyFill="1"/>
    <xf numFmtId="164" fontId="0" fillId="77" borderId="0" xfId="0" applyNumberFormat="1" applyFill="1"/>
    <xf numFmtId="2" fontId="0" fillId="0" borderId="2" xfId="0" applyNumberFormat="1" applyBorder="1"/>
    <xf numFmtId="164" fontId="0" fillId="0" borderId="10" xfId="0" applyNumberFormat="1" applyBorder="1"/>
    <xf numFmtId="2" fontId="0" fillId="0" borderId="0" xfId="0" applyNumberFormat="1"/>
    <xf numFmtId="2" fontId="0" fillId="0" borderId="1" xfId="0" applyNumberFormat="1" applyBorder="1"/>
    <xf numFmtId="164" fontId="0" fillId="0" borderId="8" xfId="0" applyNumberFormat="1" applyBorder="1"/>
    <xf numFmtId="2" fontId="0" fillId="0" borderId="12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4" xfId="0" applyBorder="1"/>
    <xf numFmtId="0" fontId="0" fillId="0" borderId="15" xfId="0" applyBorder="1"/>
    <xf numFmtId="2" fontId="0" fillId="0" borderId="13" xfId="0" applyNumberFormat="1" applyBorder="1"/>
    <xf numFmtId="2" fontId="0" fillId="0" borderId="15" xfId="0" applyNumberFormat="1" applyBorder="1"/>
    <xf numFmtId="164" fontId="0" fillId="0" borderId="14" xfId="0" applyNumberFormat="1" applyBorder="1"/>
    <xf numFmtId="164" fontId="0" fillId="0" borderId="13" xfId="0" applyNumberFormat="1" applyBorder="1"/>
    <xf numFmtId="164" fontId="0" fillId="0" borderId="15" xfId="0" applyNumberFormat="1" applyBorder="1"/>
    <xf numFmtId="2" fontId="0" fillId="0" borderId="9" xfId="0" applyNumberFormat="1" applyBorder="1"/>
    <xf numFmtId="2" fontId="0" fillId="0" borderId="8" xfId="0" applyNumberFormat="1" applyBorder="1"/>
    <xf numFmtId="2" fontId="0" fillId="0" borderId="14" xfId="0" applyNumberFormat="1" applyBorder="1"/>
    <xf numFmtId="0" fontId="2" fillId="0" borderId="1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0" xfId="0" applyBorder="1"/>
    <xf numFmtId="0" fontId="0" fillId="4" borderId="12" xfId="0" applyFill="1" applyBorder="1"/>
    <xf numFmtId="0" fontId="0" fillId="3" borderId="0" xfId="0" applyFill="1" applyBorder="1"/>
    <xf numFmtId="0" fontId="0" fillId="2" borderId="0" xfId="0" applyFill="1" applyBorder="1"/>
    <xf numFmtId="0" fontId="0" fillId="3" borderId="10" xfId="0" applyFill="1" applyBorder="1"/>
    <xf numFmtId="0" fontId="0" fillId="2" borderId="11" xfId="0" applyFill="1" applyBorder="1"/>
    <xf numFmtId="0" fontId="0" fillId="4" borderId="0" xfId="0" applyFill="1" applyBorder="1"/>
    <xf numFmtId="0" fontId="0" fillId="2" borderId="12" xfId="0" applyFill="1" applyBorder="1"/>
    <xf numFmtId="0" fontId="0" fillId="4" borderId="11" xfId="0" applyFill="1" applyBorder="1"/>
    <xf numFmtId="0" fontId="1" fillId="0" borderId="0" xfId="0" applyFont="1" applyBorder="1"/>
    <xf numFmtId="0" fontId="1" fillId="0" borderId="2" xfId="0" applyFont="1" applyBorder="1"/>
    <xf numFmtId="0" fontId="0" fillId="0" borderId="0" xfId="0" applyNumberFormat="1"/>
  </cellXfs>
  <cellStyles count="1">
    <cellStyle name="Normal" xfId="0" builtinId="0"/>
  </cellStyles>
  <dxfs count="6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2" formatCode="0.0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2" formatCode="0.0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2" formatCode="0.0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2" formatCode="0.00"/>
      <border diagonalUp="0" diagonalDown="0">
        <left/>
        <right/>
        <top/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2" formatCode="0.0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border>
        <bottom style="thin">
          <color indexed="64"/>
        </bottom>
      </border>
    </dxf>
    <dxf>
      <numFmt numFmtId="164" formatCode="0.0"/>
    </dxf>
    <dxf>
      <numFmt numFmtId="0" formatCode="General"/>
    </dxf>
    <dxf>
      <numFmt numFmtId="0" formatCode="General"/>
    </dxf>
    <dxf>
      <border>
        <bottom style="thin">
          <color indexed="64"/>
        </bottom>
      </border>
    </dxf>
    <dxf>
      <numFmt numFmtId="164" formatCode="0.0"/>
      <border diagonalUp="0" diagonalDown="0">
        <left/>
        <right/>
        <top/>
        <bottom/>
        <vertical/>
        <horizontal/>
      </border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6F6F7D5B-3125-47A9-8276-570D3CF10955}" autoFormatId="16" applyNumberFormats="0" applyBorderFormats="0" applyFontFormats="0" applyPatternFormats="0" applyAlignmentFormats="0" applyWidthHeightFormats="0">
  <queryTableRefresh nextId="8">
    <queryTableFields count="7">
      <queryTableField id="1" name="order_cl_type" tableColumnId="1"/>
      <queryTableField id="2" name="cl_type" tableColumnId="2"/>
      <queryTableField id="3" name="avg_acc_train_max" tableColumnId="3"/>
      <queryTableField id="4" name="avg_acc_train_last" tableColumnId="4"/>
      <queryTableField id="5" name="avg_acc_val_max" tableColumnId="5"/>
      <queryTableField id="6" name="avg_acc_val_last" tableColumnId="6"/>
      <queryTableField id="7" name="count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F7F224F-A2CC-4980-9891-13B4B65EB523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loss_type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1F7F2E82-3CB3-4B7E-933D-7FB820842973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F36AA65B-1C68-4FC6-A3B1-32EC22169498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uniform_train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7DC9B443-22D9-4704-9F5D-4E2966C7FB2D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F16F9A01-7E4A-4DFE-BCF9-04939318F8D5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initialization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FA65276E-C9B7-46C3-A250-EB7187D96BFC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853A48FD-E2FF-402D-815D-8E36FB1838FE}" autoFormatId="16" applyNumberFormats="0" applyBorderFormats="0" applyFontFormats="0" applyPatternFormats="0" applyAlignmentFormats="0" applyWidthHeightFormats="0">
  <queryTableRefresh nextId="13">
    <queryTableFields count="9">
      <queryTableField id="1" name="order_cl_type" tableColumnId="1"/>
      <queryTableField id="2" name="cl_type" tableColumnId="2"/>
      <queryTableField id="9" name="cl_batch_ratios" tableColumnId="3"/>
      <queryTableField id="10" name="cl_iter_ratios" tableColumnId="9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49B8D8-84E8-4D7D-A4FE-3951A2E92082}" name="Data" displayName="Data" ref="A1:AN660" totalsRowShown="0">
  <autoFilter ref="A1:AN660" xr:uid="{00000000-0001-0000-0000-000000000000}"/>
  <tableColumns count="40">
    <tableColumn id="1" xr3:uid="{3F46A136-CDC4-4676-A19B-FE07E5FB1A4A}" name="id"/>
    <tableColumn id="2" xr3:uid="{02337190-9E11-4AD4-A381-18C7872E0717}" name="cl_type"/>
    <tableColumn id="3" xr3:uid="{BD6F3E81-F4B5-4144-881C-2754C9402A40}" name="num_runs"/>
    <tableColumn id="4" xr3:uid="{7B5EC39C-B26D-49C5-9033-BAEDF3F95566}" name="best_run_max"/>
    <tableColumn id="5" xr3:uid="{3C29ABA7-F2D5-45CC-B4B0-01506F542E3B}" name="best_run_last"/>
    <tableColumn id="6" xr3:uid="{A5AB8829-F3D2-4367-9D65-69016CF2BE6D}" name="best_it_max"/>
    <tableColumn id="7" xr3:uid="{BFB4F368-1FFE-4E88-975B-33A2D61ADD2D}" name="best_it_last"/>
    <tableColumn id="8" xr3:uid="{77A9B0EC-04E8-4AF1-ADC7-5A7D34F5F295}" name="best_acc_train_max"/>
    <tableColumn id="9" xr3:uid="{FFA90EDC-CDB9-41FE-A76D-A0A233095F3E}" name="best_acc_train_last"/>
    <tableColumn id="10" xr3:uid="{AF2480D1-0891-4EF8-97D4-410C6746AF8C}" name="best_acc_val_max"/>
    <tableColumn id="11" xr3:uid="{B1A7822F-6294-4282-9DE6-1B2FA85466B9}" name="best_acc_val_last" dataDxfId="63"/>
    <tableColumn id="12" xr3:uid="{86D47135-FFEE-4BE5-80F6-740714011D62}" name="avg_acc_train_max" dataDxfId="62"/>
    <tableColumn id="13" xr3:uid="{1A077F00-F629-4980-A446-617C2EFC66F5}" name="avg_acc_train_last" dataDxfId="61"/>
    <tableColumn id="14" xr3:uid="{64287497-0CC3-48C9-BEBC-AE0858657D14}" name="avg_acc_val_max" dataDxfId="60"/>
    <tableColumn id="15" xr3:uid="{B13748F7-5C68-4B71-8972-D6032B2F40CA}" name="avg_acc_val_last" dataDxfId="59"/>
    <tableColumn id="16" xr3:uid="{AC947682-AC88-49F6-894B-EF258DE54488}" name="num_iters" dataDxfId="58"/>
    <tableColumn id="17" xr3:uid="{4EF6FD9F-1813-4A91-8461-12E3CEF1F5B7}" name="num_runs2"/>
    <tableColumn id="18" xr3:uid="{788E663B-22F6-4C7A-956E-C07C94A3540A}" name="with_cv"/>
    <tableColumn id="19" xr3:uid="{B1B24F9A-08B3-4F2A-AD67-184927D5DAD9}" name="with_val"/>
    <tableColumn id="20" xr3:uid="{F98C612B-7651-4317-961F-302653101446}" name="nqubits"/>
    <tableColumn id="21" xr3:uid="{A823DC9C-B2D0-4411-9592-8A004EBC8E24}" name="with_bias"/>
    <tableColumn id="22" xr3:uid="{F15C2D7F-EBD7-468C-8E67-0169F119F4EA}" name="optimizer"/>
    <tableColumn id="23" xr3:uid="{E26DEA65-DFCA-450F-A898-08EA9386BD8A}" name="loss_type"/>
    <tableColumn id="24" xr3:uid="{947993D9-16D3-4BB6-9E12-98FA6934C7DD}" name="initialization"/>
    <tableColumn id="25" xr3:uid="{31C80085-C747-45C5-AED4-C0D484C26DCA}" name="batch_size"/>
    <tableColumn id="26" xr3:uid="{C7E8BA3E-0780-408C-94EC-799F9AF47DE8}" name="train_size"/>
    <tableColumn id="27" xr3:uid="{A2A22FBD-FDC2-4FB2-865B-6E81226200CD}" name="val_size"/>
    <tableColumn id="28" xr3:uid="{B50B5238-F30B-48D7-95D2-7A47F98648E5}" name="cl_batch_ratios"/>
    <tableColumn id="40" xr3:uid="{52F982E7-3CDD-401B-85D2-89EFF0985B3D}" name="cl_iter_ratios"/>
    <tableColumn id="29" xr3:uid="{71A054AC-909B-4760-B0A4-4290B357A97C}" name="uniform_train"/>
    <tableColumn id="30" xr3:uid="{121B03E5-468E-4D83-A5C7-8593FFB87FC8}" name="uniform_val"/>
    <tableColumn id="31" xr3:uid="{5B800806-1E21-4C29-B4DE-D15755396B2D}" name="epsilon_train"/>
    <tableColumn id="32" xr3:uid="{EFBECDF2-4817-4462-AE6F-BC0246F416E3}" name="epsilon_val"/>
    <tableColumn id="33" xr3:uid="{6DA9DCD0-1988-4B82-9390-BB45B481F2C4}" name="num_cpus_gs_train"/>
    <tableColumn id="34" xr3:uid="{43C1DBEC-D695-4685-812F-87E3A7D1E728}" name="num_cpus_gs_val"/>
    <tableColumn id="35" xr3:uid="{6CD2EB69-CC40-4B65-A0C7-C855735DB6BA}" name="max_weight_init"/>
    <tableColumn id="36" xr3:uid="{36157F04-A82E-4B6B-A388-D1A9B6EB3D28}" name="stepsize"/>
    <tableColumn id="37" xr3:uid="{13CD1A8E-C391-4F48-81D5-93F4435D8B75}" name="key1"/>
    <tableColumn id="38" xr3:uid="{12242DCC-2694-4368-A64B-35106FD95070}" name="key2">
      <calculatedColumnFormula>_xlfn.CONCAT(B2,AL2)</calculatedColumnFormula>
    </tableColumn>
    <tableColumn id="39" xr3:uid="{7E958357-0784-4E14-B898-E46BC350BEEA}" name="Column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6007D7-665C-496E-BA1C-6188FD866501}" name="cl_type" displayName="cl_type" ref="A1:G6" tableType="queryTable" totalsRowShown="0">
  <autoFilter ref="A1:G6" xr:uid="{C86007D7-665C-496E-BA1C-6188FD866501}"/>
  <tableColumns count="7">
    <tableColumn id="1" xr3:uid="{9DFDB6A0-66FB-4FA8-A623-E10E82741BE0}" uniqueName="1" name="order_cl_type" queryTableFieldId="1"/>
    <tableColumn id="2" xr3:uid="{1CFB50AC-C7FB-41C7-89BC-236130A86A98}" uniqueName="2" name="cl_type" queryTableFieldId="2" dataDxfId="57"/>
    <tableColumn id="3" xr3:uid="{9F49A22A-C87A-4BCA-9D8B-CD060FB50C1E}" uniqueName="3" name="avg_acc_train_max" queryTableFieldId="3" dataDxfId="56"/>
    <tableColumn id="4" xr3:uid="{C252A1CC-16B3-42D3-A60B-872F1B56CD2E}" uniqueName="4" name="avg_acc_train_last" queryTableFieldId="4" dataDxfId="55"/>
    <tableColumn id="5" xr3:uid="{D310DB07-6C3F-405A-82F0-86C7FE3563C8}" uniqueName="5" name="avg_acc_val_max" queryTableFieldId="5" dataDxfId="54"/>
    <tableColumn id="6" xr3:uid="{D18F382C-4C48-42B8-8380-7D46BD2EE36F}" uniqueName="6" name="avg_acc_val_last" queryTableFieldId="6" dataDxfId="53"/>
    <tableColumn id="7" xr3:uid="{B747FFAF-599B-4ABF-AA61-B72EFEAC8AFD}" uniqueName="7" name="count" queryTableField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BBFAAA-BED5-452F-BC24-2417C3EF631C}" name="loss_type" displayName="loss_type" ref="A1:H11" tableType="queryTable" totalsRowShown="0">
  <autoFilter ref="A1:H11" xr:uid="{4BBBFAAA-BED5-452F-BC24-2417C3EF631C}"/>
  <tableColumns count="8">
    <tableColumn id="1" xr3:uid="{15B028CB-C542-4319-B223-F651EC6A4D4D}" uniqueName="1" name="order_cl_type" queryTableFieldId="1"/>
    <tableColumn id="2" xr3:uid="{8A45BB09-F980-4230-89B6-F844738FFEF7}" uniqueName="2" name="cl_type" queryTableFieldId="2" dataDxfId="52"/>
    <tableColumn id="3" xr3:uid="{C5DB9BA2-E451-4C97-82E3-89993F7A92AD}" uniqueName="3" name="loss_type" queryTableFieldId="3" dataDxfId="51"/>
    <tableColumn id="4" xr3:uid="{0F0EB117-1AEB-4FC5-AED6-78A0949D6C61}" uniqueName="4" name="avg_acc_train_max" queryTableFieldId="4" dataDxfId="38"/>
    <tableColumn id="5" xr3:uid="{BA49ECF0-A833-4D54-9707-EF2808222A03}" uniqueName="5" name="avg_acc_train_last" queryTableFieldId="5" dataDxfId="37"/>
    <tableColumn id="6" xr3:uid="{7C716C50-804E-411A-800C-982FF2865439}" uniqueName="6" name="avg_acc_val_max" queryTableFieldId="6" dataDxfId="36"/>
    <tableColumn id="7" xr3:uid="{35A55ED7-1DFD-4A05-9501-38F77A43FB1E}" uniqueName="7" name="avg_acc_val_last" queryTableFieldId="7" dataDxfId="35"/>
    <tableColumn id="8" xr3:uid="{009ABA8B-1CAE-4048-8213-8ADDC11158A5}" uniqueName="8" name="count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B13DA1-BDF9-4E46-AF92-1E0786DDE78B}" name="loss_type_2" displayName="loss_type_2" ref="A20:F26" tableType="queryTable" totalsRowShown="0" headerRowDxfId="50">
  <autoFilter ref="A20:F26" xr:uid="{A1B13DA1-BDF9-4E46-AF92-1E0786DDE78B}"/>
  <tableColumns count="6">
    <tableColumn id="1" xr3:uid="{DFDA0E98-8D3D-46C3-B013-7391DAAACFA7}" uniqueName="1" name="order_cl_type" queryTableFieldId="1" dataDxfId="17"/>
    <tableColumn id="2" xr3:uid="{12C489EC-37B3-4376-9FA1-FDE4CF14253E}" uniqueName="2" name="cl_type" queryTableFieldId="2" dataDxfId="16"/>
    <tableColumn id="3" xr3:uid="{638D27D0-9AD6-4B4C-81C9-7F50C6E69996}" uniqueName="3" name="delta_train_max" queryTableFieldId="3" dataDxfId="15"/>
    <tableColumn id="4" xr3:uid="{0DC9A683-B983-4E20-AE44-C9B94875E953}" uniqueName="4" name="delta_train_last" queryTableFieldId="4" dataDxfId="14"/>
    <tableColumn id="5" xr3:uid="{B857AB06-6BD6-4CB9-B9CF-437D7A4AF242}" uniqueName="5" name="delta_val_max" queryTableFieldId="5" dataDxfId="13"/>
    <tableColumn id="6" xr3:uid="{716A589D-9919-40F0-8FC7-30AAB56DD755}" uniqueName="6" name="delta_val_last" queryTableFieldId="6" dataDxfId="1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B4BFE11-ADDA-4ED6-B2ED-8814EEE76C8E}" name="sampling_gs" displayName="sampling_gs" ref="A1:H11" tableType="queryTable" totalsRowShown="0">
  <autoFilter ref="A1:H11" xr:uid="{0B4BFE11-ADDA-4ED6-B2ED-8814EEE76C8E}"/>
  <tableColumns count="8">
    <tableColumn id="1" xr3:uid="{084E7CE0-B90D-44F1-A790-E770F3D12D93}" uniqueName="1" name="order_cl_type" queryTableFieldId="1"/>
    <tableColumn id="2" xr3:uid="{7B73759B-E828-4911-9173-C82AEA25E2F3}" uniqueName="2" name="cl_type" queryTableFieldId="2" dataDxfId="49"/>
    <tableColumn id="3" xr3:uid="{75F8FD32-994B-4A5C-9144-839FD0758C80}" uniqueName="3" name="uniform_train" queryTableFieldId="3"/>
    <tableColumn id="4" xr3:uid="{5E52C9DF-A2F8-4949-B074-D5CDBDF868DC}" uniqueName="4" name="avg_acc_train_max" queryTableFieldId="4" dataDxfId="42"/>
    <tableColumn id="5" xr3:uid="{E596206A-997D-4956-93E8-4BDE36EF2F55}" uniqueName="5" name="avg_acc_train_last" queryTableFieldId="5" dataDxfId="41"/>
    <tableColumn id="6" xr3:uid="{26ADEB85-E82B-4484-A244-D4C3678DD43F}" uniqueName="6" name="avg_acc_val_max" queryTableFieldId="6" dataDxfId="40"/>
    <tableColumn id="7" xr3:uid="{1AFC71C8-436C-4BA4-8EEB-FDABBD2D9A4C}" uniqueName="7" name="avg_acc_val_last" queryTableFieldId="7" dataDxfId="39"/>
    <tableColumn id="8" xr3:uid="{6F28FC9B-E8ED-414E-9900-7DF6EB9F7796}" uniqueName="8" name="count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8A79A84-1139-4F06-8F66-5C869090D618}" name="sampling_gs_2" displayName="sampling_gs_2" ref="A20:F26" tableType="queryTable" totalsRowShown="0" headerRowDxfId="48" headerRowBorderDxfId="47">
  <autoFilter ref="A20:F26" xr:uid="{E8A79A84-1139-4F06-8F66-5C869090D618}"/>
  <tableColumns count="6">
    <tableColumn id="1" xr3:uid="{5B956D7E-7438-4DE4-A344-19A1210517EB}" uniqueName="1" name="order_cl_type" queryTableFieldId="1" dataDxfId="23"/>
    <tableColumn id="2" xr3:uid="{C2BA818E-6C73-4808-8ED5-43F262B5CE46}" uniqueName="2" name="cl_type" queryTableFieldId="2" dataDxfId="22"/>
    <tableColumn id="3" xr3:uid="{2D995868-F38D-4B3F-B782-CF56AE25F44E}" uniqueName="3" name="delta_train_max" queryTableFieldId="3" dataDxfId="21"/>
    <tableColumn id="4" xr3:uid="{22667199-DDF5-4DA3-9AF5-7D04315B8D08}" uniqueName="4" name="delta_train_last" queryTableFieldId="4" dataDxfId="20"/>
    <tableColumn id="5" xr3:uid="{943962C0-8FC5-4C0C-A69E-D748A4D000A5}" uniqueName="5" name="delta_val_max" queryTableFieldId="5" dataDxfId="19"/>
    <tableColumn id="6" xr3:uid="{8774C063-7885-4068-903B-BE2F2A6DB921}" uniqueName="6" name="delta_val_last" queryTableFieldId="6" dataDxfId="1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8D866B-262E-4987-B287-CB36F1D0E3CE}" name="initialization" displayName="initialization" ref="A1:H11" tableType="queryTable" totalsRowShown="0">
  <autoFilter ref="A1:H11" xr:uid="{318D866B-262E-4987-B287-CB36F1D0E3CE}"/>
  <tableColumns count="8">
    <tableColumn id="1" xr3:uid="{D3E9CF59-8A02-41FE-BEB3-9437F57CC306}" uniqueName="1" name="order_cl_type" queryTableFieldId="1"/>
    <tableColumn id="2" xr3:uid="{DF288DB8-8E5C-4828-A4CB-D9D76E446A6E}" uniqueName="2" name="cl_type" queryTableFieldId="2" dataDxfId="46"/>
    <tableColumn id="3" xr3:uid="{EEEB74C6-3339-45C2-9B1E-A88182D4B790}" uniqueName="3" name="initialization" queryTableFieldId="3" dataDxfId="45"/>
    <tableColumn id="4" xr3:uid="{3D3965D8-1DD0-41E5-9F0B-A93C98936908}" uniqueName="4" name="avg_acc_train_max" queryTableFieldId="4" dataDxfId="34"/>
    <tableColumn id="5" xr3:uid="{47E4F9CD-7141-472C-9159-E1BD06A06F4B}" uniqueName="5" name="avg_acc_train_last" queryTableFieldId="5" dataDxfId="33"/>
    <tableColumn id="6" xr3:uid="{CB5A7396-EDA3-4CDA-A3F4-74159BFE0A95}" uniqueName="6" name="avg_acc_val_max" queryTableFieldId="6" dataDxfId="32"/>
    <tableColumn id="7" xr3:uid="{A6A5DC38-7B52-478F-A52F-EEBA4D90127B}" uniqueName="7" name="avg_acc_val_last" queryTableFieldId="7" dataDxfId="31"/>
    <tableColumn id="8" xr3:uid="{0F3B3079-AB3D-4318-9D3F-BDC857BD0A40}" uniqueName="8" name="count" queryTableField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80FA9D-AD2E-4451-84A1-C0FD88B34AA3}" name="initialization_2" displayName="initialization_2" ref="A20:F26" tableType="queryTable" totalsRowShown="0" headerRowDxfId="44" headerRowBorderDxfId="43">
  <autoFilter ref="A20:F26" xr:uid="{0C80FA9D-AD2E-4451-84A1-C0FD88B34AA3}"/>
  <tableColumns count="6">
    <tableColumn id="1" xr3:uid="{B0D22F93-4D5D-4CCE-B9DF-A762777BC106}" uniqueName="1" name="order_cl_type" queryTableFieldId="1" dataDxfId="11"/>
    <tableColumn id="2" xr3:uid="{0CCBBA29-3EB5-469C-ACB3-D579AF811D13}" uniqueName="2" name="cl_type" queryTableFieldId="2" dataDxfId="10"/>
    <tableColumn id="3" xr3:uid="{AD00F1E4-7244-4628-8BA1-1FA56EA10548}" uniqueName="3" name="delta_train_max" queryTableFieldId="3" dataDxfId="9"/>
    <tableColumn id="4" xr3:uid="{FB583403-BD12-47B1-ABA7-EC06806C4B50}" uniqueName="4" name="delta_train_last" queryTableFieldId="4" dataDxfId="8"/>
    <tableColumn id="5" xr3:uid="{0C25C32C-C3DD-4125-ACB9-E65BD7E1E343}" uniqueName="5" name="delta_val_max" queryTableFieldId="5" dataDxfId="7"/>
    <tableColumn id="6" xr3:uid="{256CC2A2-F583-491B-90FC-9628BEF43E3C}" uniqueName="6" name="delta_val_last" queryTableFieldId="6" dataDxfId="6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014EB6-136D-4DC5-B9CB-DBF15C454651}" name="cv_ratios" displayName="cv_ratios" ref="A1:I24" tableType="queryTable" totalsRowShown="0">
  <autoFilter ref="A1:I24" xr:uid="{E9014EB6-136D-4DC5-B9CB-DBF15C454651}"/>
  <tableColumns count="9">
    <tableColumn id="1" xr3:uid="{6B67550C-4D6A-4E9A-AE17-D3A0F7B704F0}" uniqueName="1" name="order_cl_type" queryTableFieldId="1"/>
    <tableColumn id="2" xr3:uid="{A7D92351-B6DF-4D96-98C7-348DB0338B0E}" uniqueName="2" name="cl_type" queryTableFieldId="2" dataDxfId="30"/>
    <tableColumn id="3" xr3:uid="{37D3E805-776A-4A62-8F63-7F5EF784C8BE}" uniqueName="3" name="cl_batch_ratios" queryTableFieldId="9" dataDxfId="29"/>
    <tableColumn id="9" xr3:uid="{9826F1C3-5B02-48ED-B365-BE6B65CEFD57}" uniqueName="9" name="cl_iter_ratios" queryTableFieldId="10" dataDxfId="28"/>
    <tableColumn id="4" xr3:uid="{54FD9FC4-8BBB-4A55-9C71-2C720A5BD598}" uniqueName="4" name="avg_acc_train_max" queryTableFieldId="4" dataDxfId="27"/>
    <tableColumn id="5" xr3:uid="{4CD37120-F99A-4E70-AFF8-2C09A042050F}" uniqueName="5" name="avg_acc_train_last" queryTableFieldId="5" dataDxfId="26"/>
    <tableColumn id="6" xr3:uid="{3FBB4462-1436-4EE6-A7B7-CB92711C41FA}" uniqueName="6" name="avg_acc_val_max" queryTableFieldId="6" dataDxfId="25"/>
    <tableColumn id="7" xr3:uid="{B1BE94EC-592F-44AB-891E-BFA2A7DE6532}" uniqueName="7" name="avg_acc_val_last" queryTableFieldId="7" dataDxfId="24"/>
    <tableColumn id="8" xr3:uid="{C1ADB84E-7992-4077-90E0-CDF9CBD02B4D}" uniqueName="8" name="count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C72C-02F5-423A-8A05-F3CD6EF68BDE}">
  <sheetPr codeName="Sheet1"/>
  <dimension ref="A1:R505"/>
  <sheetViews>
    <sheetView tabSelected="1" zoomScale="130" zoomScaleNormal="130" workbookViewId="0">
      <pane xSplit="2" ySplit="1" topLeftCell="C158" activePane="bottomRight" state="frozen"/>
      <selection pane="topRight" activeCell="B1" sqref="B1"/>
      <selection pane="bottomLeft" activeCell="A2" sqref="A2"/>
      <selection pane="bottomRight" activeCell="R173" sqref="R173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7.7109375" style="9" bestFit="1" customWidth="1"/>
    <col min="4" max="4" width="16" style="9" bestFit="1" customWidth="1"/>
    <col min="5" max="5" width="8.85546875" bestFit="1" customWidth="1"/>
    <col min="6" max="6" width="7.28515625" bestFit="1" customWidth="1"/>
    <col min="7" max="7" width="11.85546875" bestFit="1" customWidth="1"/>
    <col min="8" max="8" width="10.28515625" bestFit="1" customWidth="1"/>
    <col min="9" max="9" width="35.5703125" bestFit="1" customWidth="1"/>
    <col min="10" max="10" width="14" customWidth="1"/>
    <col min="11" max="11" width="14" bestFit="1" customWidth="1"/>
    <col min="12" max="12" width="14.5703125" bestFit="1" customWidth="1"/>
    <col min="13" max="13" width="10.42578125" bestFit="1" customWidth="1"/>
    <col min="14" max="14" width="9.85546875" bestFit="1" customWidth="1"/>
    <col min="15" max="15" width="7.140625" bestFit="1" customWidth="1"/>
    <col min="16" max="16" width="19.7109375" bestFit="1" customWidth="1"/>
    <col min="17" max="17" width="25.140625" style="3" bestFit="1" customWidth="1"/>
    <col min="18" max="18" width="34.42578125" bestFit="1" customWidth="1"/>
  </cols>
  <sheetData>
    <row r="1" spans="1:18" x14ac:dyDescent="0.25">
      <c r="A1" s="3" t="s">
        <v>75</v>
      </c>
      <c r="B1" s="215" t="s">
        <v>76</v>
      </c>
      <c r="C1" s="5" t="s">
        <v>94</v>
      </c>
      <c r="D1" s="5" t="s">
        <v>93</v>
      </c>
      <c r="E1" s="1" t="s">
        <v>35</v>
      </c>
      <c r="F1" s="1" t="s">
        <v>37</v>
      </c>
      <c r="G1" s="1" t="s">
        <v>21</v>
      </c>
      <c r="H1" s="1" t="s">
        <v>22</v>
      </c>
      <c r="I1" s="1" t="s">
        <v>23</v>
      </c>
      <c r="J1" s="1" t="s">
        <v>18</v>
      </c>
      <c r="K1" s="1" t="s">
        <v>19</v>
      </c>
      <c r="L1" s="1" t="s">
        <v>78</v>
      </c>
      <c r="M1" s="1" t="s">
        <v>38</v>
      </c>
      <c r="N1" s="1" t="s">
        <v>39</v>
      </c>
      <c r="O1" s="1" t="s">
        <v>36</v>
      </c>
      <c r="P1" t="s">
        <v>60</v>
      </c>
      <c r="Q1" s="3" t="s">
        <v>61</v>
      </c>
      <c r="R1" t="s">
        <v>77</v>
      </c>
    </row>
    <row r="2" spans="1:18" x14ac:dyDescent="0.25">
      <c r="A2">
        <v>1</v>
      </c>
      <c r="B2" s="216" t="s">
        <v>40</v>
      </c>
      <c r="C2" s="10">
        <f>INDEX(Data!M:M,MATCH(Q2,Data!AM:AM,0))</f>
        <v>88.2</v>
      </c>
      <c r="D2" s="10">
        <f>INDEX(Data!O:O,MATCH(Q2,Data!AM:AM,0))</f>
        <v>89.15</v>
      </c>
      <c r="E2">
        <f>INDEX(Data!T:T,MATCH($P2,Data!$AL:$AL,0))</f>
        <v>8</v>
      </c>
      <c r="F2">
        <f>INDEX(Data!P:P,MATCH($P2,Data!$AL:$AL,0))</f>
        <v>1000</v>
      </c>
      <c r="G2">
        <f>INDEX(Data!Z:Z,MATCH($P2,Data!$AL:$AL,0))</f>
        <v>100</v>
      </c>
      <c r="H2">
        <f>INDEX(Data!AA:AA,MATCH($P2,Data!$AL:$AL,0))</f>
        <v>1000</v>
      </c>
      <c r="I2" t="str">
        <f>INDEX(Data!AB:AB,MATCH($P2,Data!$AL:$AL,0))</f>
        <v>[0.3, 0.2, 0.2, 0.2, 0.1]</v>
      </c>
      <c r="J2" t="str">
        <f>INDEX(Data!V:V,MATCH($P2,Data!$AL:$AL,0))</f>
        <v>Adam</v>
      </c>
      <c r="K2" t="str">
        <f>INDEX(Data!W:W,MATCH($P2,Data!$AL:$AL,0))</f>
        <v>cross_entropy</v>
      </c>
      <c r="L2" t="str">
        <f>INDEX(Data!X:X,MATCH($P2,Data!$AL:$AL,0))</f>
        <v>uniform</v>
      </c>
      <c r="M2" t="b">
        <f>INDEX(Data!AD:AD,MATCH($P2,Data!$AL:$AL,0))</f>
        <v>1</v>
      </c>
      <c r="N2" t="b">
        <f>INDEX(Data!AF:AF,MATCH($P2,Data!$AL:$AL,0))</f>
        <v>1</v>
      </c>
      <c r="O2">
        <f>INDEX(Data!Q:Q,MATCH($P2,Data!$AL:$AL,0))</f>
        <v>10</v>
      </c>
      <c r="P2" t="s">
        <v>55</v>
      </c>
      <c r="Q2" t="str">
        <f t="shared" ref="Q2:Q65" si="0">_xlfn.CONCAT(B2,P2)</f>
        <v>NCL2024-01-16 20-48-36</v>
      </c>
    </row>
    <row r="3" spans="1:18" x14ac:dyDescent="0.25">
      <c r="A3">
        <v>2</v>
      </c>
      <c r="B3" s="216" t="s">
        <v>41</v>
      </c>
      <c r="C3" s="11">
        <f>INDEX(Data!M:M,MATCH(Q3,Data!AM:AM,0))</f>
        <v>86.4</v>
      </c>
      <c r="D3" s="11">
        <f>INDEX(Data!O:O,MATCH(Q3,Data!AM:AM,0))</f>
        <v>87.26</v>
      </c>
      <c r="E3">
        <f>INDEX(Data!T:T,MATCH($P3,Data!$AL:$AL,0))</f>
        <v>8</v>
      </c>
      <c r="F3">
        <f>INDEX(Data!P:P,MATCH($P3,Data!$AL:$AL,0))</f>
        <v>1000</v>
      </c>
      <c r="G3">
        <f>INDEX(Data!Z:Z,MATCH($P3,Data!$AL:$AL,0))</f>
        <v>100</v>
      </c>
      <c r="H3">
        <f>INDEX(Data!AA:AA,MATCH($P3,Data!$AL:$AL,0))</f>
        <v>1000</v>
      </c>
      <c r="I3" t="str">
        <f>INDEX(Data!AB:AB,MATCH($P3,Data!$AL:$AL,0))</f>
        <v>[0.3, 0.2, 0.2, 0.2, 0.1]</v>
      </c>
      <c r="J3" t="str">
        <f>INDEX(Data!V:V,MATCH($P3,Data!$AL:$AL,0))</f>
        <v>Adam</v>
      </c>
      <c r="K3" t="str">
        <f>INDEX(Data!W:W,MATCH($P3,Data!$AL:$AL,0))</f>
        <v>cross_entropy</v>
      </c>
      <c r="L3" t="str">
        <f>INDEX(Data!X:X,MATCH($P3,Data!$AL:$AL,0))</f>
        <v>uniform</v>
      </c>
      <c r="M3" t="b">
        <f>INDEX(Data!AD:AD,MATCH($P3,Data!$AL:$AL,0))</f>
        <v>1</v>
      </c>
      <c r="N3" t="b">
        <f>INDEX(Data!AF:AF,MATCH($P3,Data!$AL:$AL,0))</f>
        <v>1</v>
      </c>
      <c r="O3">
        <f>INDEX(Data!Q:Q,MATCH($P3,Data!$AL:$AL,0))</f>
        <v>10</v>
      </c>
      <c r="P3" t="s">
        <v>55</v>
      </c>
      <c r="Q3" t="str">
        <f t="shared" si="0"/>
        <v>CL2024-01-16 20-48-36</v>
      </c>
    </row>
    <row r="4" spans="1:18" x14ac:dyDescent="0.25">
      <c r="A4" s="1">
        <v>3</v>
      </c>
      <c r="B4" s="217" t="s">
        <v>42</v>
      </c>
      <c r="C4" s="12">
        <f>INDEX(Data!M:M,MATCH(Q4,Data!AM:AM,0))</f>
        <v>91.1</v>
      </c>
      <c r="D4" s="12">
        <f>INDEX(Data!O:O,MATCH(Q4,Data!AM:AM,0))</f>
        <v>92.11</v>
      </c>
      <c r="E4" s="1">
        <f>INDEX(Data!T:T,MATCH($P4,Data!$AL:$AL,0))</f>
        <v>8</v>
      </c>
      <c r="F4" s="1">
        <f>INDEX(Data!P:P,MATCH($P4,Data!$AL:$AL,0))</f>
        <v>1000</v>
      </c>
      <c r="G4" s="1">
        <f>INDEX(Data!Z:Z,MATCH($P4,Data!$AL:$AL,0))</f>
        <v>100</v>
      </c>
      <c r="H4" s="1">
        <f>INDEX(Data!AA:AA,MATCH($P4,Data!$AL:$AL,0))</f>
        <v>1000</v>
      </c>
      <c r="I4" s="1" t="str">
        <f>INDEX(Data!AB:AB,MATCH($P4,Data!$AL:$AL,0))</f>
        <v>[0.3, 0.2, 0.2, 0.2, 0.1]</v>
      </c>
      <c r="J4" s="1" t="str">
        <f>INDEX(Data!V:V,MATCH($P4,Data!$AL:$AL,0))</f>
        <v>Adam</v>
      </c>
      <c r="K4" s="1" t="str">
        <f>INDEX(Data!W:W,MATCH($P4,Data!$AL:$AL,0))</f>
        <v>cross_entropy</v>
      </c>
      <c r="L4" s="1" t="str">
        <f>INDEX(Data!X:X,MATCH($P4,Data!$AL:$AL,0))</f>
        <v>uniform</v>
      </c>
      <c r="M4" s="1" t="b">
        <f>INDEX(Data!AD:AD,MATCH($P4,Data!$AL:$AL,0))</f>
        <v>1</v>
      </c>
      <c r="N4" s="1" t="b">
        <f>INDEX(Data!AF:AF,MATCH($P4,Data!$AL:$AL,0))</f>
        <v>1</v>
      </c>
      <c r="O4" s="1">
        <f>INDEX(Data!Q:Q,MATCH($P4,Data!$AL:$AL,0))</f>
        <v>10</v>
      </c>
      <c r="P4" s="1" t="s">
        <v>55</v>
      </c>
      <c r="Q4" s="1" t="str">
        <f t="shared" si="0"/>
        <v>ACL2024-01-16 20-48-36</v>
      </c>
    </row>
    <row r="5" spans="1:18" x14ac:dyDescent="0.25">
      <c r="A5">
        <v>4</v>
      </c>
      <c r="B5" s="216" t="s">
        <v>40</v>
      </c>
      <c r="C5" s="11">
        <f>INDEX(Data!M:M,MATCH(Q5,Data!AM:AM,0))</f>
        <v>90.2</v>
      </c>
      <c r="D5" s="11">
        <f>INDEX(Data!O:O,MATCH(Q5,Data!AM:AM,0))</f>
        <v>83.87</v>
      </c>
      <c r="E5">
        <f>INDEX(Data!T:T,MATCH($P5,Data!$AL:$AL,0))</f>
        <v>8</v>
      </c>
      <c r="F5">
        <f>INDEX(Data!P:P,MATCH($P5,Data!$AL:$AL,0))</f>
        <v>1000</v>
      </c>
      <c r="G5">
        <f>INDEX(Data!Z:Z,MATCH($P5,Data!$AL:$AL,0))</f>
        <v>50</v>
      </c>
      <c r="H5">
        <f>INDEX(Data!AA:AA,MATCH($P5,Data!$AL:$AL,0))</f>
        <v>1000</v>
      </c>
      <c r="I5" t="str">
        <f>INDEX(Data!AB:AB,MATCH($P5,Data!$AL:$AL,0))</f>
        <v>[0.2, 0.1, 0.1, 0.1, 0.1, 0.1, 0.1, 0.1, 0.1]</v>
      </c>
      <c r="J5" t="str">
        <f>INDEX(Data!V:V,MATCH($P5,Data!$AL:$AL,0))</f>
        <v>Adam</v>
      </c>
      <c r="K5" t="str">
        <f>INDEX(Data!W:W,MATCH($P5,Data!$AL:$AL,0))</f>
        <v>cross_entropy</v>
      </c>
      <c r="L5" t="str">
        <f>INDEX(Data!X:X,MATCH($P5,Data!$AL:$AL,0))</f>
        <v>uniform</v>
      </c>
      <c r="M5" t="b">
        <f>INDEX(Data!AD:AD,MATCH($P5,Data!$AL:$AL,0))</f>
        <v>1</v>
      </c>
      <c r="N5" t="b">
        <f>INDEX(Data!AF:AF,MATCH($P5,Data!$AL:$AL,0))</f>
        <v>1</v>
      </c>
      <c r="O5">
        <f>INDEX(Data!Q:Q,MATCH($P5,Data!$AL:$AL,0))</f>
        <v>10</v>
      </c>
      <c r="P5" t="s">
        <v>54</v>
      </c>
      <c r="Q5" s="3" t="str">
        <f t="shared" si="0"/>
        <v>NCL2024-01-17 19-19-32</v>
      </c>
    </row>
    <row r="6" spans="1:18" x14ac:dyDescent="0.25">
      <c r="A6">
        <v>5</v>
      </c>
      <c r="B6" s="216" t="s">
        <v>41</v>
      </c>
      <c r="C6" s="10">
        <f>INDEX(Data!M:M,MATCH(Q6,Data!AM:AM,0))</f>
        <v>90.4</v>
      </c>
      <c r="D6" s="10">
        <f>INDEX(Data!O:O,MATCH(Q6,Data!AM:AM,0))</f>
        <v>84.89</v>
      </c>
      <c r="E6">
        <f>INDEX(Data!T:T,MATCH($P6,Data!$AL:$AL,0))</f>
        <v>8</v>
      </c>
      <c r="F6">
        <f>INDEX(Data!P:P,MATCH($P6,Data!$AL:$AL,0))</f>
        <v>1000</v>
      </c>
      <c r="G6">
        <f>INDEX(Data!Z:Z,MATCH($P6,Data!$AL:$AL,0))</f>
        <v>50</v>
      </c>
      <c r="H6">
        <f>INDEX(Data!AA:AA,MATCH($P6,Data!$AL:$AL,0))</f>
        <v>1000</v>
      </c>
      <c r="I6" t="str">
        <f>INDEX(Data!AB:AB,MATCH($P6,Data!$AL:$AL,0))</f>
        <v>[0.2, 0.1, 0.1, 0.1, 0.1, 0.1, 0.1, 0.1, 0.1]</v>
      </c>
      <c r="J6" t="str">
        <f>INDEX(Data!V:V,MATCH($P6,Data!$AL:$AL,0))</f>
        <v>Adam</v>
      </c>
      <c r="K6" t="str">
        <f>INDEX(Data!W:W,MATCH($P6,Data!$AL:$AL,0))</f>
        <v>cross_entropy</v>
      </c>
      <c r="L6" t="str">
        <f>INDEX(Data!X:X,MATCH($P6,Data!$AL:$AL,0))</f>
        <v>uniform</v>
      </c>
      <c r="M6" t="b">
        <f>INDEX(Data!AD:AD,MATCH($P6,Data!$AL:$AL,0))</f>
        <v>1</v>
      </c>
      <c r="N6" t="b">
        <f>INDEX(Data!AF:AF,MATCH($P6,Data!$AL:$AL,0))</f>
        <v>1</v>
      </c>
      <c r="O6">
        <f>INDEX(Data!Q:Q,MATCH($P6,Data!$AL:$AL,0))</f>
        <v>10</v>
      </c>
      <c r="P6" t="s">
        <v>54</v>
      </c>
      <c r="Q6" s="3" t="str">
        <f t="shared" si="0"/>
        <v>CL2024-01-17 19-19-32</v>
      </c>
    </row>
    <row r="7" spans="1:18" x14ac:dyDescent="0.25">
      <c r="A7" s="1">
        <v>6</v>
      </c>
      <c r="B7" s="217" t="s">
        <v>42</v>
      </c>
      <c r="C7" s="12">
        <f>INDEX(Data!M:M,MATCH(Q7,Data!AM:AM,0))</f>
        <v>93.4</v>
      </c>
      <c r="D7" s="12">
        <f>INDEX(Data!O:O,MATCH(Q7,Data!AM:AM,0))</f>
        <v>88.71</v>
      </c>
      <c r="E7" s="1">
        <f>INDEX(Data!T:T,MATCH($P7,Data!$AL:$AL,0))</f>
        <v>8</v>
      </c>
      <c r="F7" s="1">
        <f>INDEX(Data!P:P,MATCH($P7,Data!$AL:$AL,0))</f>
        <v>1000</v>
      </c>
      <c r="G7" s="1">
        <f>INDEX(Data!Z:Z,MATCH($P7,Data!$AL:$AL,0))</f>
        <v>50</v>
      </c>
      <c r="H7" s="1">
        <f>INDEX(Data!AA:AA,MATCH($P7,Data!$AL:$AL,0))</f>
        <v>1000</v>
      </c>
      <c r="I7" s="1" t="str">
        <f>INDEX(Data!AB:AB,MATCH($P7,Data!$AL:$AL,0))</f>
        <v>[0.2, 0.1, 0.1, 0.1, 0.1, 0.1, 0.1, 0.1, 0.1]</v>
      </c>
      <c r="J7" s="1" t="str">
        <f>INDEX(Data!V:V,MATCH($P7,Data!$AL:$AL,0))</f>
        <v>Adam</v>
      </c>
      <c r="K7" s="1" t="str">
        <f>INDEX(Data!W:W,MATCH($P7,Data!$AL:$AL,0))</f>
        <v>cross_entropy</v>
      </c>
      <c r="L7" s="1" t="str">
        <f>INDEX(Data!X:X,MATCH($P7,Data!$AL:$AL,0))</f>
        <v>uniform</v>
      </c>
      <c r="M7" s="1" t="b">
        <f>INDEX(Data!AD:AD,MATCH($P7,Data!$AL:$AL,0))</f>
        <v>1</v>
      </c>
      <c r="N7" s="1" t="b">
        <f>INDEX(Data!AF:AF,MATCH($P7,Data!$AL:$AL,0))</f>
        <v>1</v>
      </c>
      <c r="O7" s="1">
        <f>INDEX(Data!Q:Q,MATCH($P7,Data!$AL:$AL,0))</f>
        <v>10</v>
      </c>
      <c r="P7" s="1" t="s">
        <v>54</v>
      </c>
      <c r="Q7" s="4" t="str">
        <f t="shared" si="0"/>
        <v>ACL2024-01-17 19-19-32</v>
      </c>
    </row>
    <row r="8" spans="1:18" x14ac:dyDescent="0.25">
      <c r="A8">
        <v>7</v>
      </c>
      <c r="B8" s="216" t="s">
        <v>40</v>
      </c>
      <c r="C8" s="10">
        <f>INDEX(Data!M:M,MATCH(Q8,Data!AM:AM,0))</f>
        <v>92.1</v>
      </c>
      <c r="D8" s="10">
        <f>INDEX(Data!O:O,MATCH(Q8,Data!AM:AM,0))</f>
        <v>88.2</v>
      </c>
      <c r="E8" s="2">
        <f>INDEX(Data!T:T,MATCH($P8,Data!$AL:$AL,0))</f>
        <v>8</v>
      </c>
      <c r="F8" s="2">
        <f>INDEX(Data!P:P,MATCH($P8,Data!$AL:$AL,0))</f>
        <v>1000</v>
      </c>
      <c r="G8" s="2">
        <f>INDEX(Data!Z:Z,MATCH($P8,Data!$AL:$AL,0))</f>
        <v>100</v>
      </c>
      <c r="H8" s="2">
        <f>INDEX(Data!AA:AA,MATCH($P8,Data!$AL:$AL,0))</f>
        <v>1000</v>
      </c>
      <c r="I8" s="2" t="str">
        <f>INDEX(Data!AB:AB,MATCH($P8,Data!$AL:$AL,0))</f>
        <v>[0.2, 0.1, 0.1, 0.1, 0.1, 0.1, 0.1, 0.1, 0.1]</v>
      </c>
      <c r="J8" s="2" t="str">
        <f>INDEX(Data!V:V,MATCH($P8,Data!$AL:$AL,0))</f>
        <v>Adam</v>
      </c>
      <c r="K8" s="2" t="str">
        <f>INDEX(Data!W:W,MATCH($P8,Data!$AL:$AL,0))</f>
        <v>cross_entropy</v>
      </c>
      <c r="L8" s="2" t="str">
        <f>INDEX(Data!X:X,MATCH($P8,Data!$AL:$AL,0))</f>
        <v>uniform</v>
      </c>
      <c r="M8" s="2" t="b">
        <f>INDEX(Data!AD:AD,MATCH($P8,Data!$AL:$AL,0))</f>
        <v>0</v>
      </c>
      <c r="N8" s="2" t="b">
        <f>INDEX(Data!AF:AF,MATCH($P8,Data!$AL:$AL,0))</f>
        <v>1</v>
      </c>
      <c r="O8" s="2">
        <f>INDEX(Data!Q:Q,MATCH($P8,Data!$AL:$AL,0))</f>
        <v>10</v>
      </c>
      <c r="P8" t="s">
        <v>53</v>
      </c>
      <c r="Q8" t="str">
        <f t="shared" si="0"/>
        <v>NCL2024-01-17 21-35-00</v>
      </c>
    </row>
    <row r="9" spans="1:18" x14ac:dyDescent="0.25">
      <c r="A9">
        <v>8</v>
      </c>
      <c r="B9" s="216" t="s">
        <v>41</v>
      </c>
      <c r="C9" s="11">
        <f>INDEX(Data!M:M,MATCH(Q9,Data!AM:AM,0))</f>
        <v>85.6</v>
      </c>
      <c r="D9" s="11">
        <f>INDEX(Data!O:O,MATCH(Q9,Data!AM:AM,0))</f>
        <v>80.61</v>
      </c>
      <c r="E9">
        <f>INDEX(Data!T:T,MATCH($P9,Data!$AL:$AL,0))</f>
        <v>8</v>
      </c>
      <c r="F9">
        <f>INDEX(Data!P:P,MATCH($P9,Data!$AL:$AL,0))</f>
        <v>1000</v>
      </c>
      <c r="G9">
        <f>INDEX(Data!Z:Z,MATCH($P9,Data!$AL:$AL,0))</f>
        <v>100</v>
      </c>
      <c r="H9">
        <f>INDEX(Data!AA:AA,MATCH($P9,Data!$AL:$AL,0))</f>
        <v>1000</v>
      </c>
      <c r="I9" t="str">
        <f>INDEX(Data!AB:AB,MATCH($P9,Data!$AL:$AL,0))</f>
        <v>[0.2, 0.1, 0.1, 0.1, 0.1, 0.1, 0.1, 0.1, 0.1]</v>
      </c>
      <c r="J9" t="str">
        <f>INDEX(Data!V:V,MATCH($P9,Data!$AL:$AL,0))</f>
        <v>Adam</v>
      </c>
      <c r="K9" t="str">
        <f>INDEX(Data!W:W,MATCH($P9,Data!$AL:$AL,0))</f>
        <v>cross_entropy</v>
      </c>
      <c r="L9" t="str">
        <f>INDEX(Data!X:X,MATCH($P9,Data!$AL:$AL,0))</f>
        <v>uniform</v>
      </c>
      <c r="M9" t="b">
        <f>INDEX(Data!AD:AD,MATCH($P9,Data!$AL:$AL,0))</f>
        <v>0</v>
      </c>
      <c r="N9" t="b">
        <f>INDEX(Data!AF:AF,MATCH($P9,Data!$AL:$AL,0))</f>
        <v>1</v>
      </c>
      <c r="O9">
        <f>INDEX(Data!Q:Q,MATCH($P9,Data!$AL:$AL,0))</f>
        <v>10</v>
      </c>
      <c r="P9" t="s">
        <v>53</v>
      </c>
      <c r="Q9" t="str">
        <f t="shared" si="0"/>
        <v>CL2024-01-17 21-35-00</v>
      </c>
    </row>
    <row r="10" spans="1:18" x14ac:dyDescent="0.25">
      <c r="A10" s="1">
        <v>9</v>
      </c>
      <c r="B10" s="217" t="s">
        <v>42</v>
      </c>
      <c r="C10" s="12">
        <f>INDEX(Data!M:M,MATCH(Q10,Data!AM:AM,0))</f>
        <v>94</v>
      </c>
      <c r="D10" s="12">
        <f>INDEX(Data!O:O,MATCH(Q10,Data!AM:AM,0))</f>
        <v>88.55</v>
      </c>
      <c r="E10" s="1">
        <f>INDEX(Data!T:T,MATCH($P10,Data!$AL:$AL,0))</f>
        <v>8</v>
      </c>
      <c r="F10" s="1">
        <f>INDEX(Data!P:P,MATCH($P10,Data!$AL:$AL,0))</f>
        <v>1000</v>
      </c>
      <c r="G10" s="1">
        <f>INDEX(Data!Z:Z,MATCH($P10,Data!$AL:$AL,0))</f>
        <v>100</v>
      </c>
      <c r="H10" s="1">
        <f>INDEX(Data!AA:AA,MATCH($P10,Data!$AL:$AL,0))</f>
        <v>1000</v>
      </c>
      <c r="I10" s="1" t="str">
        <f>INDEX(Data!AB:AB,MATCH($P10,Data!$AL:$AL,0))</f>
        <v>[0.2, 0.1, 0.1, 0.1, 0.1, 0.1, 0.1, 0.1, 0.1]</v>
      </c>
      <c r="J10" s="1" t="str">
        <f>INDEX(Data!V:V,MATCH($P10,Data!$AL:$AL,0))</f>
        <v>Adam</v>
      </c>
      <c r="K10" s="1" t="str">
        <f>INDEX(Data!W:W,MATCH($P10,Data!$AL:$AL,0))</f>
        <v>cross_entropy</v>
      </c>
      <c r="L10" s="1" t="str">
        <f>INDEX(Data!X:X,MATCH($P10,Data!$AL:$AL,0))</f>
        <v>uniform</v>
      </c>
      <c r="M10" s="1" t="b">
        <f>INDEX(Data!AD:AD,MATCH($P10,Data!$AL:$AL,0))</f>
        <v>0</v>
      </c>
      <c r="N10" s="1" t="b">
        <f>INDEX(Data!AF:AF,MATCH($P10,Data!$AL:$AL,0))</f>
        <v>1</v>
      </c>
      <c r="O10" s="1">
        <f>INDEX(Data!Q:Q,MATCH($P10,Data!$AL:$AL,0))</f>
        <v>10</v>
      </c>
      <c r="P10" s="1" t="s">
        <v>53</v>
      </c>
      <c r="Q10" s="1" t="str">
        <f t="shared" si="0"/>
        <v>ACL2024-01-17 21-35-00</v>
      </c>
    </row>
    <row r="11" spans="1:18" x14ac:dyDescent="0.25">
      <c r="A11">
        <v>10</v>
      </c>
      <c r="B11" s="216" t="s">
        <v>40</v>
      </c>
      <c r="C11" s="13">
        <f>INDEX(Data!M:M,MATCH(Q11,Data!AM:AM,0))</f>
        <v>92.7</v>
      </c>
      <c r="D11" s="13">
        <f>INDEX(Data!O:O,MATCH(Q11,Data!AM:AM,0))</f>
        <v>86.15</v>
      </c>
      <c r="E11" s="2">
        <f>INDEX(Data!T:T,MATCH($P11,Data!$AL:$AL,0))</f>
        <v>8</v>
      </c>
      <c r="F11" s="2">
        <f>INDEX(Data!P:P,MATCH($P11,Data!$AL:$AL,0))</f>
        <v>1000</v>
      </c>
      <c r="G11" s="2">
        <f>INDEX(Data!Z:Z,MATCH($P11,Data!$AL:$AL,0))</f>
        <v>100</v>
      </c>
      <c r="H11" s="2">
        <f>INDEX(Data!AA:AA,MATCH($P11,Data!$AL:$AL,0))</f>
        <v>1000</v>
      </c>
      <c r="I11" s="2" t="str">
        <f>INDEX(Data!AB:AB,MATCH($P11,Data!$AL:$AL,0))</f>
        <v>[0.2, 0.1, 0.1, 0.1, 0.1, 0.1, 0.1, 0.1, 0.1]</v>
      </c>
      <c r="J11" s="2" t="str">
        <f>INDEX(Data!V:V,MATCH($P11,Data!$AL:$AL,0))</f>
        <v>Adam</v>
      </c>
      <c r="K11" s="2" t="str">
        <f>INDEX(Data!W:W,MATCH($P11,Data!$AL:$AL,0))</f>
        <v>cross_entropy</v>
      </c>
      <c r="L11" s="2" t="str">
        <f>INDEX(Data!X:X,MATCH($P11,Data!$AL:$AL,0))</f>
        <v>uniform</v>
      </c>
      <c r="M11" s="2" t="b">
        <f>INDEX(Data!AD:AD,MATCH($P11,Data!$AL:$AL,0))</f>
        <v>1</v>
      </c>
      <c r="N11" s="2" t="b">
        <f>INDEX(Data!AF:AF,MATCH($P11,Data!$AL:$AL,0))</f>
        <v>1</v>
      </c>
      <c r="O11" s="2">
        <f>INDEX(Data!Q:Q,MATCH($P11,Data!$AL:$AL,0))</f>
        <v>10</v>
      </c>
      <c r="P11" t="s">
        <v>52</v>
      </c>
      <c r="Q11" t="str">
        <f t="shared" si="0"/>
        <v>NCL2024-01-18 07-30-47</v>
      </c>
    </row>
    <row r="12" spans="1:18" x14ac:dyDescent="0.25">
      <c r="A12">
        <v>11</v>
      </c>
      <c r="B12" s="216" t="s">
        <v>41</v>
      </c>
      <c r="C12" s="11">
        <f>INDEX(Data!M:M,MATCH(Q12,Data!AM:AM,0))</f>
        <v>91.7</v>
      </c>
      <c r="D12" s="11">
        <f>INDEX(Data!O:O,MATCH(Q12,Data!AM:AM,0))</f>
        <v>84.789999999999907</v>
      </c>
      <c r="E12">
        <f>INDEX(Data!T:T,MATCH($P12,Data!$AL:$AL,0))</f>
        <v>8</v>
      </c>
      <c r="F12">
        <f>INDEX(Data!P:P,MATCH($P12,Data!$AL:$AL,0))</f>
        <v>1000</v>
      </c>
      <c r="G12">
        <f>INDEX(Data!Z:Z,MATCH($P12,Data!$AL:$AL,0))</f>
        <v>100</v>
      </c>
      <c r="H12">
        <f>INDEX(Data!AA:AA,MATCH($P12,Data!$AL:$AL,0))</f>
        <v>1000</v>
      </c>
      <c r="I12" t="str">
        <f>INDEX(Data!AB:AB,MATCH($P12,Data!$AL:$AL,0))</f>
        <v>[0.2, 0.1, 0.1, 0.1, 0.1, 0.1, 0.1, 0.1, 0.1]</v>
      </c>
      <c r="J12" t="str">
        <f>INDEX(Data!V:V,MATCH($P12,Data!$AL:$AL,0))</f>
        <v>Adam</v>
      </c>
      <c r="K12" t="str">
        <f>INDEX(Data!W:W,MATCH($P12,Data!$AL:$AL,0))</f>
        <v>cross_entropy</v>
      </c>
      <c r="L12" t="str">
        <f>INDEX(Data!X:X,MATCH($P12,Data!$AL:$AL,0))</f>
        <v>uniform</v>
      </c>
      <c r="M12" t="b">
        <f>INDEX(Data!AD:AD,MATCH($P12,Data!$AL:$AL,0))</f>
        <v>1</v>
      </c>
      <c r="N12" t="b">
        <f>INDEX(Data!AF:AF,MATCH($P12,Data!$AL:$AL,0))</f>
        <v>1</v>
      </c>
      <c r="O12">
        <f>INDEX(Data!Q:Q,MATCH($P12,Data!$AL:$AL,0))</f>
        <v>10</v>
      </c>
      <c r="P12" t="s">
        <v>52</v>
      </c>
      <c r="Q12" t="str">
        <f t="shared" si="0"/>
        <v>CL2024-01-18 07-30-47</v>
      </c>
    </row>
    <row r="13" spans="1:18" x14ac:dyDescent="0.25">
      <c r="A13" s="1">
        <v>12</v>
      </c>
      <c r="B13" s="217" t="s">
        <v>42</v>
      </c>
      <c r="C13" s="12">
        <f>INDEX(Data!M:M,MATCH(Q13,Data!AM:AM,0))</f>
        <v>94.1</v>
      </c>
      <c r="D13" s="12">
        <f>INDEX(Data!O:O,MATCH(Q13,Data!AM:AM,0))</f>
        <v>87.37</v>
      </c>
      <c r="E13" s="1">
        <f>INDEX(Data!T:T,MATCH($P13,Data!$AL:$AL,0))</f>
        <v>8</v>
      </c>
      <c r="F13" s="1">
        <f>INDEX(Data!P:P,MATCH($P13,Data!$AL:$AL,0))</f>
        <v>1000</v>
      </c>
      <c r="G13" s="1">
        <f>INDEX(Data!Z:Z,MATCH($P13,Data!$AL:$AL,0))</f>
        <v>100</v>
      </c>
      <c r="H13" s="1">
        <f>INDEX(Data!AA:AA,MATCH($P13,Data!$AL:$AL,0))</f>
        <v>1000</v>
      </c>
      <c r="I13" s="1" t="str">
        <f>INDEX(Data!AB:AB,MATCH($P13,Data!$AL:$AL,0))</f>
        <v>[0.2, 0.1, 0.1, 0.1, 0.1, 0.1, 0.1, 0.1, 0.1]</v>
      </c>
      <c r="J13" s="1" t="str">
        <f>INDEX(Data!V:V,MATCH($P13,Data!$AL:$AL,0))</f>
        <v>Adam</v>
      </c>
      <c r="K13" s="1" t="str">
        <f>INDEX(Data!W:W,MATCH($P13,Data!$AL:$AL,0))</f>
        <v>cross_entropy</v>
      </c>
      <c r="L13" s="1" t="str">
        <f>INDEX(Data!X:X,MATCH($P13,Data!$AL:$AL,0))</f>
        <v>uniform</v>
      </c>
      <c r="M13" s="1" t="b">
        <f>INDEX(Data!AD:AD,MATCH($P13,Data!$AL:$AL,0))</f>
        <v>1</v>
      </c>
      <c r="N13" s="1" t="b">
        <f>INDEX(Data!AF:AF,MATCH($P13,Data!$AL:$AL,0))</f>
        <v>1</v>
      </c>
      <c r="O13" s="1">
        <f>INDEX(Data!Q:Q,MATCH($P13,Data!$AL:$AL,0))</f>
        <v>10</v>
      </c>
      <c r="P13" s="1" t="s">
        <v>52</v>
      </c>
      <c r="Q13" s="1" t="str">
        <f t="shared" si="0"/>
        <v>ACL2024-01-18 07-30-47</v>
      </c>
    </row>
    <row r="14" spans="1:18" x14ac:dyDescent="0.25">
      <c r="A14" s="3">
        <v>13</v>
      </c>
      <c r="B14" s="218" t="s">
        <v>40</v>
      </c>
      <c r="C14" s="22">
        <f>INDEX(Data!M:M,MATCH(Q14,Data!AM:AM,0))</f>
        <v>93.7</v>
      </c>
      <c r="D14" s="23">
        <f>INDEX(Data!O:O,MATCH(Q14,Data!AM:AM,0))</f>
        <v>87.8</v>
      </c>
      <c r="E14" s="2">
        <f>INDEX(Data!T:T,MATCH($P14,Data!$AL:$AL,0))</f>
        <v>8</v>
      </c>
      <c r="F14" s="2">
        <f>INDEX(Data!P:P,MATCH($P14,Data!$AL:$AL,0))</f>
        <v>1000</v>
      </c>
      <c r="G14" s="2">
        <f>INDEX(Data!Z:Z,MATCH($P14,Data!$AL:$AL,0))</f>
        <v>100</v>
      </c>
      <c r="H14" s="2">
        <f>INDEX(Data!AA:AA,MATCH($P14,Data!$AL:$AL,0))</f>
        <v>1000</v>
      </c>
      <c r="I14" s="2" t="str">
        <f>INDEX(Data!AB:AB,MATCH($P14,Data!$AL:$AL,0))</f>
        <v>[0.2, 0.1, 0.1, 0.1, 0.1, 0.1, 0.1, 0.1, 0.1]</v>
      </c>
      <c r="J14" s="2" t="str">
        <f>INDEX(Data!V:V,MATCH($P14,Data!$AL:$AL,0))</f>
        <v>Adam</v>
      </c>
      <c r="K14" s="2" t="str">
        <f>INDEX(Data!W:W,MATCH($P14,Data!$AL:$AL,0))</f>
        <v>cross_entropy</v>
      </c>
      <c r="L14" s="2" t="str">
        <f>INDEX(Data!X:X,MATCH($P14,Data!$AL:$AL,0))</f>
        <v>uniform</v>
      </c>
      <c r="M14" s="2" t="b">
        <f>INDEX(Data!AD:AD,MATCH($P14,Data!$AL:$AL,0))</f>
        <v>1</v>
      </c>
      <c r="N14" s="2" t="b">
        <f>INDEX(Data!AF:AF,MATCH($P14,Data!$AL:$AL,0))</f>
        <v>1</v>
      </c>
      <c r="O14" s="2">
        <f>INDEX(Data!Q:Q,MATCH($P14,Data!$AL:$AL,0))</f>
        <v>10</v>
      </c>
      <c r="P14" t="s">
        <v>51</v>
      </c>
      <c r="Q14" s="3" t="str">
        <f t="shared" si="0"/>
        <v>NCL2024-01-18 09-37-29</v>
      </c>
    </row>
    <row r="15" spans="1:18" x14ac:dyDescent="0.25">
      <c r="A15" s="3">
        <v>14</v>
      </c>
      <c r="B15" s="216" t="s">
        <v>41</v>
      </c>
      <c r="C15" s="24">
        <f>INDEX(Data!M:M,MATCH(Q15,Data!AM:AM,0))</f>
        <v>91.2</v>
      </c>
      <c r="D15" s="10">
        <f>INDEX(Data!O:O,MATCH(Q15,Data!AM:AM,0))</f>
        <v>86.18</v>
      </c>
      <c r="E15">
        <f>INDEX(Data!T:T,MATCH($P15,Data!$AL:$AL,0))</f>
        <v>8</v>
      </c>
      <c r="F15">
        <f>INDEX(Data!P:P,MATCH($P15,Data!$AL:$AL,0))</f>
        <v>1000</v>
      </c>
      <c r="G15">
        <f>INDEX(Data!Z:Z,MATCH($P15,Data!$AL:$AL,0))</f>
        <v>100</v>
      </c>
      <c r="H15">
        <f>INDEX(Data!AA:AA,MATCH($P15,Data!$AL:$AL,0))</f>
        <v>1000</v>
      </c>
      <c r="I15" t="str">
        <f>INDEX(Data!AB:AB,MATCH($P15,Data!$AL:$AL,0))</f>
        <v>[0.2, 0.1, 0.1, 0.1, 0.1, 0.1, 0.1, 0.1, 0.1]</v>
      </c>
      <c r="J15" t="str">
        <f>INDEX(Data!V:V,MATCH($P15,Data!$AL:$AL,0))</f>
        <v>Adam</v>
      </c>
      <c r="K15" t="str">
        <f>INDEX(Data!W:W,MATCH($P15,Data!$AL:$AL,0))</f>
        <v>cross_entropy</v>
      </c>
      <c r="L15" t="str">
        <f>INDEX(Data!X:X,MATCH($P15,Data!$AL:$AL,0))</f>
        <v>uniform</v>
      </c>
      <c r="M15" t="b">
        <f>INDEX(Data!AD:AD,MATCH($P15,Data!$AL:$AL,0))</f>
        <v>1</v>
      </c>
      <c r="N15" t="b">
        <f>INDEX(Data!AF:AF,MATCH($P15,Data!$AL:$AL,0))</f>
        <v>1</v>
      </c>
      <c r="O15">
        <f>INDEX(Data!Q:Q,MATCH($P15,Data!$AL:$AL,0))</f>
        <v>10</v>
      </c>
      <c r="P15" t="s">
        <v>51</v>
      </c>
      <c r="Q15" s="3" t="str">
        <f t="shared" si="0"/>
        <v>CL2024-01-18 09-37-29</v>
      </c>
    </row>
    <row r="16" spans="1:18" x14ac:dyDescent="0.25">
      <c r="A16" s="3">
        <v>15</v>
      </c>
      <c r="B16" s="216" t="s">
        <v>42</v>
      </c>
      <c r="C16" s="10">
        <f>INDEX(Data!M:M,MATCH(Q16,Data!AM:AM,0))</f>
        <v>92.9</v>
      </c>
      <c r="D16" s="25">
        <f>INDEX(Data!O:O,MATCH(Q16,Data!AM:AM,0))</f>
        <v>85.8</v>
      </c>
      <c r="E16">
        <f>INDEX(Data!T:T,MATCH($P16,Data!$AL:$AL,0))</f>
        <v>8</v>
      </c>
      <c r="F16">
        <f>INDEX(Data!P:P,MATCH($P16,Data!$AL:$AL,0))</f>
        <v>1000</v>
      </c>
      <c r="G16">
        <f>INDEX(Data!Z:Z,MATCH($P16,Data!$AL:$AL,0))</f>
        <v>100</v>
      </c>
      <c r="H16">
        <f>INDEX(Data!AA:AA,MATCH($P16,Data!$AL:$AL,0))</f>
        <v>1000</v>
      </c>
      <c r="I16" t="str">
        <f>INDEX(Data!AB:AB,MATCH($P16,Data!$AL:$AL,0))</f>
        <v>[0.2, 0.1, 0.1, 0.1, 0.1, 0.1, 0.1, 0.1, 0.1]</v>
      </c>
      <c r="J16" t="str">
        <f>INDEX(Data!V:V,MATCH($P16,Data!$AL:$AL,0))</f>
        <v>Adam</v>
      </c>
      <c r="K16" t="str">
        <f>INDEX(Data!W:W,MATCH($P16,Data!$AL:$AL,0))</f>
        <v>cross_entropy</v>
      </c>
      <c r="L16" t="str">
        <f>INDEX(Data!X:X,MATCH($P16,Data!$AL:$AL,0))</f>
        <v>uniform</v>
      </c>
      <c r="M16" t="b">
        <f>INDEX(Data!AD:AD,MATCH($P16,Data!$AL:$AL,0))</f>
        <v>1</v>
      </c>
      <c r="N16" t="b">
        <f>INDEX(Data!AF:AF,MATCH($P16,Data!$AL:$AL,0))</f>
        <v>1</v>
      </c>
      <c r="O16">
        <f>INDEX(Data!Q:Q,MATCH($P16,Data!$AL:$AL,0))</f>
        <v>10</v>
      </c>
      <c r="P16" t="s">
        <v>51</v>
      </c>
      <c r="Q16" s="3" t="str">
        <f t="shared" si="0"/>
        <v>ACL2024-01-18 09-37-29</v>
      </c>
    </row>
    <row r="17" spans="1:17" x14ac:dyDescent="0.25">
      <c r="A17" s="3">
        <v>16</v>
      </c>
      <c r="B17" s="216" t="s">
        <v>43</v>
      </c>
      <c r="C17" s="11">
        <f>INDEX(Data!M:M,MATCH(Q17,Data!AM:AM,0))</f>
        <v>87.8</v>
      </c>
      <c r="D17" s="11">
        <f>INDEX(Data!O:O,MATCH(Q17,Data!AM:AM,0))</f>
        <v>81.349999999999994</v>
      </c>
      <c r="E17">
        <f>INDEX(Data!T:T,MATCH($P17,Data!$AL:$AL,0))</f>
        <v>8</v>
      </c>
      <c r="F17">
        <f>INDEX(Data!P:P,MATCH($P17,Data!$AL:$AL,0))</f>
        <v>1000</v>
      </c>
      <c r="G17">
        <f>INDEX(Data!Z:Z,MATCH($P17,Data!$AL:$AL,0))</f>
        <v>100</v>
      </c>
      <c r="H17">
        <f>INDEX(Data!AA:AA,MATCH($P17,Data!$AL:$AL,0))</f>
        <v>1000</v>
      </c>
      <c r="I17" t="str">
        <f>INDEX(Data!AB:AB,MATCH($P17,Data!$AL:$AL,0))</f>
        <v>[0.2, 0.1, 0.1, 0.1, 0.1, 0.1, 0.1, 0.1, 0.1]</v>
      </c>
      <c r="J17" t="str">
        <f>INDEX(Data!V:V,MATCH($P17,Data!$AL:$AL,0))</f>
        <v>Adam</v>
      </c>
      <c r="K17" t="str">
        <f>INDEX(Data!W:W,MATCH($P17,Data!$AL:$AL,0))</f>
        <v>cross_entropy</v>
      </c>
      <c r="L17" t="str">
        <f>INDEX(Data!X:X,MATCH($P17,Data!$AL:$AL,0))</f>
        <v>uniform</v>
      </c>
      <c r="M17" t="b">
        <f>INDEX(Data!AD:AD,MATCH($P17,Data!$AL:$AL,0))</f>
        <v>1</v>
      </c>
      <c r="N17" t="b">
        <f>INDEX(Data!AF:AF,MATCH($P17,Data!$AL:$AL,0))</f>
        <v>1</v>
      </c>
      <c r="O17">
        <f>INDEX(Data!Q:Q,MATCH($P17,Data!$AL:$AL,0))</f>
        <v>10</v>
      </c>
      <c r="P17" t="s">
        <v>51</v>
      </c>
      <c r="Q17" s="3" t="str">
        <f t="shared" si="0"/>
        <v>SPCL2024-01-18 09-37-29</v>
      </c>
    </row>
    <row r="18" spans="1:17" x14ac:dyDescent="0.25">
      <c r="A18" s="4">
        <v>17</v>
      </c>
      <c r="B18" s="217" t="s">
        <v>44</v>
      </c>
      <c r="C18" s="12">
        <f>INDEX(Data!M:M,MATCH(Q18,Data!AM:AM,0))</f>
        <v>94.3</v>
      </c>
      <c r="D18" s="12">
        <f>INDEX(Data!O:O,MATCH(Q18,Data!AM:AM,0))</f>
        <v>88.5</v>
      </c>
      <c r="E18" s="1">
        <f>INDEX(Data!T:T,MATCH($P18,Data!$AL:$AL,0))</f>
        <v>8</v>
      </c>
      <c r="F18" s="1">
        <f>INDEX(Data!P:P,MATCH($P18,Data!$AL:$AL,0))</f>
        <v>1000</v>
      </c>
      <c r="G18" s="1">
        <f>INDEX(Data!Z:Z,MATCH($P18,Data!$AL:$AL,0))</f>
        <v>100</v>
      </c>
      <c r="H18" s="1">
        <f>INDEX(Data!AA:AA,MATCH($P18,Data!$AL:$AL,0))</f>
        <v>1000</v>
      </c>
      <c r="I18" s="1" t="str">
        <f>INDEX(Data!AB:AB,MATCH($P18,Data!$AL:$AL,0))</f>
        <v>[0.2, 0.1, 0.1, 0.1, 0.1, 0.1, 0.1, 0.1, 0.1]</v>
      </c>
      <c r="J18" s="1" t="str">
        <f>INDEX(Data!V:V,MATCH($P18,Data!$AL:$AL,0))</f>
        <v>Adam</v>
      </c>
      <c r="K18" s="1" t="str">
        <f>INDEX(Data!W:W,MATCH($P18,Data!$AL:$AL,0))</f>
        <v>cross_entropy</v>
      </c>
      <c r="L18" s="1" t="str">
        <f>INDEX(Data!X:X,MATCH($P18,Data!$AL:$AL,0))</f>
        <v>uniform</v>
      </c>
      <c r="M18" s="1" t="b">
        <f>INDEX(Data!AD:AD,MATCH($P18,Data!$AL:$AL,0))</f>
        <v>1</v>
      </c>
      <c r="N18" s="1" t="b">
        <f>INDEX(Data!AF:AF,MATCH($P18,Data!$AL:$AL,0))</f>
        <v>1</v>
      </c>
      <c r="O18" s="1">
        <f>INDEX(Data!Q:Q,MATCH($P18,Data!$AL:$AL,0))</f>
        <v>10</v>
      </c>
      <c r="P18" s="1" t="s">
        <v>51</v>
      </c>
      <c r="Q18" s="4" t="str">
        <f t="shared" si="0"/>
        <v>SPACL2024-01-18 09-37-29</v>
      </c>
    </row>
    <row r="19" spans="1:17" x14ac:dyDescent="0.25">
      <c r="A19" s="3">
        <v>18</v>
      </c>
      <c r="B19" s="218" t="s">
        <v>40</v>
      </c>
      <c r="C19" s="26">
        <f>INDEX(Data!M:M,MATCH(Q19,Data!AM:AM,0))</f>
        <v>88.1</v>
      </c>
      <c r="D19" s="27">
        <f>INDEX(Data!O:O,MATCH(Q19,Data!AM:AM,0))</f>
        <v>85.6</v>
      </c>
      <c r="E19" s="2">
        <f>INDEX(Data!T:T,MATCH($P19,Data!$AL:$AL,0))</f>
        <v>8</v>
      </c>
      <c r="F19" s="2">
        <f>INDEX(Data!P:P,MATCH($P19,Data!$AL:$AL,0))</f>
        <v>1000</v>
      </c>
      <c r="G19" s="2">
        <f>INDEX(Data!Z:Z,MATCH($P19,Data!$AL:$AL,0))</f>
        <v>100</v>
      </c>
      <c r="H19" s="2">
        <f>INDEX(Data!AA:AA,MATCH($P19,Data!$AL:$AL,0))</f>
        <v>1000</v>
      </c>
      <c r="I19" s="2" t="str">
        <f>INDEX(Data!AB:AB,MATCH($P19,Data!$AL:$AL,0))</f>
        <v>[0.3, 0.2, 0.2, 0.2, 0.1]</v>
      </c>
      <c r="J19" s="2" t="str">
        <f>INDEX(Data!V:V,MATCH($P19,Data!$AL:$AL,0))</f>
        <v>Adam</v>
      </c>
      <c r="K19" s="2" t="str">
        <f>INDEX(Data!W:W,MATCH($P19,Data!$AL:$AL,0))</f>
        <v>cross_entropy</v>
      </c>
      <c r="L19" s="2" t="str">
        <f>INDEX(Data!X:X,MATCH($P19,Data!$AL:$AL,0))</f>
        <v>uniform</v>
      </c>
      <c r="M19" s="2" t="b">
        <f>INDEX(Data!AD:AD,MATCH($P19,Data!$AL:$AL,0))</f>
        <v>1</v>
      </c>
      <c r="N19" s="2" t="b">
        <f>INDEX(Data!AF:AF,MATCH($P19,Data!$AL:$AL,0))</f>
        <v>1</v>
      </c>
      <c r="O19" s="2">
        <f>INDEX(Data!Q:Q,MATCH($P19,Data!$AL:$AL,0))</f>
        <v>10</v>
      </c>
      <c r="P19" t="s">
        <v>50</v>
      </c>
      <c r="Q19" s="3" t="str">
        <f t="shared" si="0"/>
        <v>NCL2024-01-18 11-33-52</v>
      </c>
    </row>
    <row r="20" spans="1:17" x14ac:dyDescent="0.25">
      <c r="A20" s="3">
        <v>19</v>
      </c>
      <c r="B20" s="216" t="s">
        <v>41</v>
      </c>
      <c r="C20" s="28">
        <f>INDEX(Data!M:M,MATCH(Q20,Data!AM:AM,0))</f>
        <v>87.3</v>
      </c>
      <c r="D20" s="29">
        <f>INDEX(Data!O:O,MATCH(Q20,Data!AM:AM,0))</f>
        <v>84.229999999999905</v>
      </c>
      <c r="E20">
        <f>INDEX(Data!T:T,MATCH($P20,Data!$AL:$AL,0))</f>
        <v>8</v>
      </c>
      <c r="F20">
        <f>INDEX(Data!P:P,MATCH($P20,Data!$AL:$AL,0))</f>
        <v>1000</v>
      </c>
      <c r="G20">
        <f>INDEX(Data!Z:Z,MATCH($P20,Data!$AL:$AL,0))</f>
        <v>100</v>
      </c>
      <c r="H20">
        <f>INDEX(Data!AA:AA,MATCH($P20,Data!$AL:$AL,0))</f>
        <v>1000</v>
      </c>
      <c r="I20" t="str">
        <f>INDEX(Data!AB:AB,MATCH($P20,Data!$AL:$AL,0))</f>
        <v>[0.3, 0.2, 0.2, 0.2, 0.1]</v>
      </c>
      <c r="J20" t="str">
        <f>INDEX(Data!V:V,MATCH($P20,Data!$AL:$AL,0))</f>
        <v>Adam</v>
      </c>
      <c r="K20" t="str">
        <f>INDEX(Data!W:W,MATCH($P20,Data!$AL:$AL,0))</f>
        <v>cross_entropy</v>
      </c>
      <c r="L20" t="str">
        <f>INDEX(Data!X:X,MATCH($P20,Data!$AL:$AL,0))</f>
        <v>uniform</v>
      </c>
      <c r="M20" t="b">
        <f>INDEX(Data!AD:AD,MATCH($P20,Data!$AL:$AL,0))</f>
        <v>1</v>
      </c>
      <c r="N20" t="b">
        <f>INDEX(Data!AF:AF,MATCH($P20,Data!$AL:$AL,0))</f>
        <v>1</v>
      </c>
      <c r="O20">
        <f>INDEX(Data!Q:Q,MATCH($P20,Data!$AL:$AL,0))</f>
        <v>10</v>
      </c>
      <c r="P20" t="s">
        <v>50</v>
      </c>
      <c r="Q20" s="3" t="str">
        <f t="shared" si="0"/>
        <v>CL2024-01-18 11-33-52</v>
      </c>
    </row>
    <row r="21" spans="1:17" x14ac:dyDescent="0.25">
      <c r="A21" s="3">
        <v>20</v>
      </c>
      <c r="B21" s="216" t="s">
        <v>42</v>
      </c>
      <c r="C21" s="15">
        <f>INDEX(Data!M:M,MATCH(Q21,Data!AM:AM,0))</f>
        <v>89.7</v>
      </c>
      <c r="D21" s="15">
        <f>INDEX(Data!O:O,MATCH(Q21,Data!AM:AM,0))</f>
        <v>87.18</v>
      </c>
      <c r="E21">
        <f>INDEX(Data!T:T,MATCH($P21,Data!$AL:$AL,0))</f>
        <v>8</v>
      </c>
      <c r="F21">
        <f>INDEX(Data!P:P,MATCH($P21,Data!$AL:$AL,0))</f>
        <v>1000</v>
      </c>
      <c r="G21">
        <f>INDEX(Data!Z:Z,MATCH($P21,Data!$AL:$AL,0))</f>
        <v>100</v>
      </c>
      <c r="H21">
        <f>INDEX(Data!AA:AA,MATCH($P21,Data!$AL:$AL,0))</f>
        <v>1000</v>
      </c>
      <c r="I21" t="str">
        <f>INDEX(Data!AB:AB,MATCH($P21,Data!$AL:$AL,0))</f>
        <v>[0.3, 0.2, 0.2, 0.2, 0.1]</v>
      </c>
      <c r="J21" t="str">
        <f>INDEX(Data!V:V,MATCH($P21,Data!$AL:$AL,0))</f>
        <v>Adam</v>
      </c>
      <c r="K21" t="str">
        <f>INDEX(Data!W:W,MATCH($P21,Data!$AL:$AL,0))</f>
        <v>cross_entropy</v>
      </c>
      <c r="L21" t="str">
        <f>INDEX(Data!X:X,MATCH($P21,Data!$AL:$AL,0))</f>
        <v>uniform</v>
      </c>
      <c r="M21" t="b">
        <f>INDEX(Data!AD:AD,MATCH($P21,Data!$AL:$AL,0))</f>
        <v>1</v>
      </c>
      <c r="N21" t="b">
        <f>INDEX(Data!AF:AF,MATCH($P21,Data!$AL:$AL,0))</f>
        <v>1</v>
      </c>
      <c r="O21">
        <f>INDEX(Data!Q:Q,MATCH($P21,Data!$AL:$AL,0))</f>
        <v>10</v>
      </c>
      <c r="P21" t="s">
        <v>50</v>
      </c>
      <c r="Q21" s="3" t="str">
        <f t="shared" si="0"/>
        <v>ACL2024-01-18 11-33-52</v>
      </c>
    </row>
    <row r="22" spans="1:17" x14ac:dyDescent="0.25">
      <c r="A22" s="3">
        <v>21</v>
      </c>
      <c r="B22" s="216" t="s">
        <v>43</v>
      </c>
      <c r="C22" s="11">
        <f>INDEX(Data!M:M,MATCH(Q22,Data!AM:AM,0))</f>
        <v>84.6</v>
      </c>
      <c r="D22" s="11">
        <f>INDEX(Data!O:O,MATCH(Q22,Data!AM:AM,0))</f>
        <v>80.94</v>
      </c>
      <c r="E22">
        <f>INDEX(Data!T:T,MATCH($P22,Data!$AL:$AL,0))</f>
        <v>8</v>
      </c>
      <c r="F22">
        <f>INDEX(Data!P:P,MATCH($P22,Data!$AL:$AL,0))</f>
        <v>1000</v>
      </c>
      <c r="G22">
        <f>INDEX(Data!Z:Z,MATCH($P22,Data!$AL:$AL,0))</f>
        <v>100</v>
      </c>
      <c r="H22">
        <f>INDEX(Data!AA:AA,MATCH($P22,Data!$AL:$AL,0))</f>
        <v>1000</v>
      </c>
      <c r="I22" t="str">
        <f>INDEX(Data!AB:AB,MATCH($P22,Data!$AL:$AL,0))</f>
        <v>[0.3, 0.2, 0.2, 0.2, 0.1]</v>
      </c>
      <c r="J22" t="str">
        <f>INDEX(Data!V:V,MATCH($P22,Data!$AL:$AL,0))</f>
        <v>Adam</v>
      </c>
      <c r="K22" t="str">
        <f>INDEX(Data!W:W,MATCH($P22,Data!$AL:$AL,0))</f>
        <v>cross_entropy</v>
      </c>
      <c r="L22" t="str">
        <f>INDEX(Data!X:X,MATCH($P22,Data!$AL:$AL,0))</f>
        <v>uniform</v>
      </c>
      <c r="M22" t="b">
        <f>INDEX(Data!AD:AD,MATCH($P22,Data!$AL:$AL,0))</f>
        <v>1</v>
      </c>
      <c r="N22" t="b">
        <f>INDEX(Data!AF:AF,MATCH($P22,Data!$AL:$AL,0))</f>
        <v>1</v>
      </c>
      <c r="O22">
        <f>INDEX(Data!Q:Q,MATCH($P22,Data!$AL:$AL,0))</f>
        <v>10</v>
      </c>
      <c r="P22" t="s">
        <v>50</v>
      </c>
      <c r="Q22" s="3" t="str">
        <f t="shared" si="0"/>
        <v>SPCL2024-01-18 11-33-52</v>
      </c>
    </row>
    <row r="23" spans="1:17" x14ac:dyDescent="0.25">
      <c r="A23" s="4">
        <v>22</v>
      </c>
      <c r="B23" s="217" t="s">
        <v>44</v>
      </c>
      <c r="C23" s="18">
        <f>INDEX(Data!M:M,MATCH(Q23,Data!AM:AM,0))</f>
        <v>87.8</v>
      </c>
      <c r="D23" s="18">
        <f>INDEX(Data!O:O,MATCH(Q23,Data!AM:AM,0))</f>
        <v>85.199999999999903</v>
      </c>
      <c r="E23" s="1">
        <f>INDEX(Data!T:T,MATCH($P23,Data!$AL:$AL,0))</f>
        <v>8</v>
      </c>
      <c r="F23" s="1">
        <f>INDEX(Data!P:P,MATCH($P23,Data!$AL:$AL,0))</f>
        <v>1000</v>
      </c>
      <c r="G23" s="1">
        <f>INDEX(Data!Z:Z,MATCH($P23,Data!$AL:$AL,0))</f>
        <v>100</v>
      </c>
      <c r="H23" s="1">
        <f>INDEX(Data!AA:AA,MATCH($P23,Data!$AL:$AL,0))</f>
        <v>1000</v>
      </c>
      <c r="I23" s="1" t="str">
        <f>INDEX(Data!AB:AB,MATCH($P23,Data!$AL:$AL,0))</f>
        <v>[0.3, 0.2, 0.2, 0.2, 0.1]</v>
      </c>
      <c r="J23" s="1" t="str">
        <f>INDEX(Data!V:V,MATCH($P23,Data!$AL:$AL,0))</f>
        <v>Adam</v>
      </c>
      <c r="K23" s="1" t="str">
        <f>INDEX(Data!W:W,MATCH($P23,Data!$AL:$AL,0))</f>
        <v>cross_entropy</v>
      </c>
      <c r="L23" s="1" t="str">
        <f>INDEX(Data!X:X,MATCH($P23,Data!$AL:$AL,0))</f>
        <v>uniform</v>
      </c>
      <c r="M23" s="1" t="b">
        <f>INDEX(Data!AD:AD,MATCH($P23,Data!$AL:$AL,0))</f>
        <v>1</v>
      </c>
      <c r="N23" s="1" t="b">
        <f>INDEX(Data!AF:AF,MATCH($P23,Data!$AL:$AL,0))</f>
        <v>1</v>
      </c>
      <c r="O23" s="1">
        <f>INDEX(Data!Q:Q,MATCH($P23,Data!$AL:$AL,0))</f>
        <v>10</v>
      </c>
      <c r="P23" s="1" t="s">
        <v>50</v>
      </c>
      <c r="Q23" s="4" t="str">
        <f t="shared" si="0"/>
        <v>SPACL2024-01-18 11-33-52</v>
      </c>
    </row>
    <row r="24" spans="1:17" x14ac:dyDescent="0.25">
      <c r="A24" s="3">
        <v>23</v>
      </c>
      <c r="B24" s="218" t="s">
        <v>40</v>
      </c>
      <c r="C24" s="19">
        <f>INDEX(Data!M:M,MATCH(Q24,Data!AM:AM,0))</f>
        <v>93.333333330000002</v>
      </c>
      <c r="D24" s="19">
        <f>INDEX(Data!O:O,MATCH(Q24,Data!AM:AM,0))</f>
        <v>87.37</v>
      </c>
      <c r="E24" s="2">
        <f>INDEX(Data!T:T,MATCH($P24,Data!$AL:$AL,0))</f>
        <v>8</v>
      </c>
      <c r="F24" s="2">
        <f>INDEX(Data!P:P,MATCH($P24,Data!$AL:$AL,0))</f>
        <v>500</v>
      </c>
      <c r="G24" s="2">
        <f>INDEX(Data!Z:Z,MATCH($P24,Data!$AL:$AL,0))</f>
        <v>48</v>
      </c>
      <c r="H24" s="2">
        <f>INDEX(Data!AA:AA,MATCH($P24,Data!$AL:$AL,0))</f>
        <v>1000</v>
      </c>
      <c r="I24" s="2" t="str">
        <f>INDEX(Data!AB:AB,MATCH($P24,Data!$AL:$AL,0))</f>
        <v>[0.2, 0.1, 0.1, 0.1, 0.1, 0.1, 0.1, 0.1, 0.1]</v>
      </c>
      <c r="J24" s="2" t="str">
        <f>INDEX(Data!V:V,MATCH($P24,Data!$AL:$AL,0))</f>
        <v>Adam</v>
      </c>
      <c r="K24" s="2" t="str">
        <f>INDEX(Data!W:W,MATCH($P24,Data!$AL:$AL,0))</f>
        <v>cross_entropy</v>
      </c>
      <c r="L24" s="2" t="str">
        <f>INDEX(Data!X:X,MATCH($P24,Data!$AL:$AL,0))</f>
        <v>uniform</v>
      </c>
      <c r="M24" s="2" t="b">
        <f>INDEX(Data!AD:AD,MATCH($P24,Data!$AL:$AL,0))</f>
        <v>1</v>
      </c>
      <c r="N24" s="2" t="b">
        <f>INDEX(Data!AF:AF,MATCH($P24,Data!$AL:$AL,0))</f>
        <v>1</v>
      </c>
      <c r="O24" s="2">
        <f>INDEX(Data!Q:Q,MATCH($P24,Data!$AL:$AL,0))</f>
        <v>10</v>
      </c>
      <c r="P24" t="s">
        <v>46</v>
      </c>
      <c r="Q24" s="3" t="str">
        <f t="shared" si="0"/>
        <v>NCL2024-01-18 17-38-31</v>
      </c>
    </row>
    <row r="25" spans="1:17" x14ac:dyDescent="0.25">
      <c r="A25" s="3">
        <v>24</v>
      </c>
      <c r="B25" s="216" t="s">
        <v>41</v>
      </c>
      <c r="C25" s="11">
        <f>INDEX(Data!M:M,MATCH(Q25,Data!AM:AM,0))</f>
        <v>89.166666669999998</v>
      </c>
      <c r="D25" s="11">
        <f>INDEX(Data!O:O,MATCH(Q25,Data!AM:AM,0))</f>
        <v>84.03</v>
      </c>
      <c r="E25">
        <f>INDEX(Data!T:T,MATCH($P25,Data!$AL:$AL,0))</f>
        <v>8</v>
      </c>
      <c r="F25">
        <f>INDEX(Data!P:P,MATCH($P25,Data!$AL:$AL,0))</f>
        <v>500</v>
      </c>
      <c r="G25">
        <f>INDEX(Data!Z:Z,MATCH($P25,Data!$AL:$AL,0))</f>
        <v>48</v>
      </c>
      <c r="H25">
        <f>INDEX(Data!AA:AA,MATCH($P25,Data!$AL:$AL,0))</f>
        <v>1000</v>
      </c>
      <c r="I25" t="str">
        <f>INDEX(Data!AB:AB,MATCH($P25,Data!$AL:$AL,0))</f>
        <v>[0.2, 0.1, 0.1, 0.1, 0.1, 0.1, 0.1, 0.1, 0.1]</v>
      </c>
      <c r="J25" t="str">
        <f>INDEX(Data!V:V,MATCH($P25,Data!$AL:$AL,0))</f>
        <v>Adam</v>
      </c>
      <c r="K25" t="str">
        <f>INDEX(Data!W:W,MATCH($P25,Data!$AL:$AL,0))</f>
        <v>cross_entropy</v>
      </c>
      <c r="L25" t="str">
        <f>INDEX(Data!X:X,MATCH($P25,Data!$AL:$AL,0))</f>
        <v>uniform</v>
      </c>
      <c r="M25" t="b">
        <f>INDEX(Data!AD:AD,MATCH($P25,Data!$AL:$AL,0))</f>
        <v>1</v>
      </c>
      <c r="N25" t="b">
        <f>INDEX(Data!AF:AF,MATCH($P25,Data!$AL:$AL,0))</f>
        <v>1</v>
      </c>
      <c r="O25">
        <f>INDEX(Data!Q:Q,MATCH($P25,Data!$AL:$AL,0))</f>
        <v>10</v>
      </c>
      <c r="P25" t="s">
        <v>46</v>
      </c>
      <c r="Q25" s="3" t="str">
        <f t="shared" si="0"/>
        <v>CL2024-01-18 17-38-31</v>
      </c>
    </row>
    <row r="26" spans="1:17" x14ac:dyDescent="0.25">
      <c r="A26" s="3">
        <v>25</v>
      </c>
      <c r="B26" s="216" t="s">
        <v>42</v>
      </c>
      <c r="C26" s="10">
        <f>INDEX(Data!M:M,MATCH(Q26,Data!AM:AM,0))</f>
        <v>92.083333330000002</v>
      </c>
      <c r="D26" s="30">
        <f>INDEX(Data!O:O,MATCH(Q26,Data!AM:AM,0))</f>
        <v>85.85</v>
      </c>
      <c r="E26">
        <f>INDEX(Data!T:T,MATCH($P26,Data!$AL:$AL,0))</f>
        <v>8</v>
      </c>
      <c r="F26">
        <f>INDEX(Data!P:P,MATCH($P26,Data!$AL:$AL,0))</f>
        <v>500</v>
      </c>
      <c r="G26">
        <f>INDEX(Data!Z:Z,MATCH($P26,Data!$AL:$AL,0))</f>
        <v>48</v>
      </c>
      <c r="H26">
        <f>INDEX(Data!AA:AA,MATCH($P26,Data!$AL:$AL,0))</f>
        <v>1000</v>
      </c>
      <c r="I26" t="str">
        <f>INDEX(Data!AB:AB,MATCH($P26,Data!$AL:$AL,0))</f>
        <v>[0.2, 0.1, 0.1, 0.1, 0.1, 0.1, 0.1, 0.1, 0.1]</v>
      </c>
      <c r="J26" t="str">
        <f>INDEX(Data!V:V,MATCH($P26,Data!$AL:$AL,0))</f>
        <v>Adam</v>
      </c>
      <c r="K26" t="str">
        <f>INDEX(Data!W:W,MATCH($P26,Data!$AL:$AL,0))</f>
        <v>cross_entropy</v>
      </c>
      <c r="L26" t="str">
        <f>INDEX(Data!X:X,MATCH($P26,Data!$AL:$AL,0))</f>
        <v>uniform</v>
      </c>
      <c r="M26" t="b">
        <f>INDEX(Data!AD:AD,MATCH($P26,Data!$AL:$AL,0))</f>
        <v>1</v>
      </c>
      <c r="N26" t="b">
        <f>INDEX(Data!AF:AF,MATCH($P26,Data!$AL:$AL,0))</f>
        <v>1</v>
      </c>
      <c r="O26">
        <f>INDEX(Data!Q:Q,MATCH($P26,Data!$AL:$AL,0))</f>
        <v>10</v>
      </c>
      <c r="P26" t="s">
        <v>46</v>
      </c>
      <c r="Q26" s="3" t="str">
        <f t="shared" si="0"/>
        <v>ACL2024-01-18 17-38-31</v>
      </c>
    </row>
    <row r="27" spans="1:17" x14ac:dyDescent="0.25">
      <c r="A27" s="3">
        <v>26</v>
      </c>
      <c r="B27" s="216" t="s">
        <v>43</v>
      </c>
      <c r="C27" s="31">
        <f>INDEX(Data!M:M,MATCH(Q27,Data!AM:AM,0))</f>
        <v>91.041666669999998</v>
      </c>
      <c r="D27" s="10">
        <f>INDEX(Data!O:O,MATCH(Q27,Data!AM:AM,0))</f>
        <v>86.43</v>
      </c>
      <c r="E27">
        <f>INDEX(Data!T:T,MATCH($P27,Data!$AL:$AL,0))</f>
        <v>8</v>
      </c>
      <c r="F27">
        <f>INDEX(Data!P:P,MATCH($P27,Data!$AL:$AL,0))</f>
        <v>500</v>
      </c>
      <c r="G27">
        <f>INDEX(Data!Z:Z,MATCH($P27,Data!$AL:$AL,0))</f>
        <v>48</v>
      </c>
      <c r="H27">
        <f>INDEX(Data!AA:AA,MATCH($P27,Data!$AL:$AL,0))</f>
        <v>1000</v>
      </c>
      <c r="I27" t="str">
        <f>INDEX(Data!AB:AB,MATCH($P27,Data!$AL:$AL,0))</f>
        <v>[0.2, 0.1, 0.1, 0.1, 0.1, 0.1, 0.1, 0.1, 0.1]</v>
      </c>
      <c r="J27" t="str">
        <f>INDEX(Data!V:V,MATCH($P27,Data!$AL:$AL,0))</f>
        <v>Adam</v>
      </c>
      <c r="K27" t="str">
        <f>INDEX(Data!W:W,MATCH($P27,Data!$AL:$AL,0))</f>
        <v>cross_entropy</v>
      </c>
      <c r="L27" t="str">
        <f>INDEX(Data!X:X,MATCH($P27,Data!$AL:$AL,0))</f>
        <v>uniform</v>
      </c>
      <c r="M27" t="b">
        <f>INDEX(Data!AD:AD,MATCH($P27,Data!$AL:$AL,0))</f>
        <v>1</v>
      </c>
      <c r="N27" t="b">
        <f>INDEX(Data!AF:AF,MATCH($P27,Data!$AL:$AL,0))</f>
        <v>1</v>
      </c>
      <c r="O27">
        <f>INDEX(Data!Q:Q,MATCH($P27,Data!$AL:$AL,0))</f>
        <v>10</v>
      </c>
      <c r="P27" t="s">
        <v>46</v>
      </c>
      <c r="Q27" s="3" t="str">
        <f t="shared" si="0"/>
        <v>SPCL2024-01-18 17-38-31</v>
      </c>
    </row>
    <row r="28" spans="1:17" x14ac:dyDescent="0.25">
      <c r="A28" s="4">
        <v>27</v>
      </c>
      <c r="B28" s="217" t="s">
        <v>44</v>
      </c>
      <c r="C28" s="32">
        <f>INDEX(Data!M:M,MATCH(Q28,Data!AM:AM,0))</f>
        <v>92.5</v>
      </c>
      <c r="D28" s="33">
        <f>INDEX(Data!O:O,MATCH(Q28,Data!AM:AM,0))</f>
        <v>87.23</v>
      </c>
      <c r="E28" s="1">
        <f>INDEX(Data!T:T,MATCH($P28,Data!$AL:$AL,0))</f>
        <v>8</v>
      </c>
      <c r="F28" s="1">
        <f>INDEX(Data!P:P,MATCH($P28,Data!$AL:$AL,0))</f>
        <v>500</v>
      </c>
      <c r="G28" s="1">
        <f>INDEX(Data!Z:Z,MATCH($P28,Data!$AL:$AL,0))</f>
        <v>48</v>
      </c>
      <c r="H28" s="1">
        <f>INDEX(Data!AA:AA,MATCH($P28,Data!$AL:$AL,0))</f>
        <v>1000</v>
      </c>
      <c r="I28" s="1" t="str">
        <f>INDEX(Data!AB:AB,MATCH($P28,Data!$AL:$AL,0))</f>
        <v>[0.2, 0.1, 0.1, 0.1, 0.1, 0.1, 0.1, 0.1, 0.1]</v>
      </c>
      <c r="J28" s="1" t="str">
        <f>INDEX(Data!V:V,MATCH($P28,Data!$AL:$AL,0))</f>
        <v>Adam</v>
      </c>
      <c r="K28" s="1" t="str">
        <f>INDEX(Data!W:W,MATCH($P28,Data!$AL:$AL,0))</f>
        <v>cross_entropy</v>
      </c>
      <c r="L28" s="1" t="str">
        <f>INDEX(Data!X:X,MATCH($P28,Data!$AL:$AL,0))</f>
        <v>uniform</v>
      </c>
      <c r="M28" s="1" t="b">
        <f>INDEX(Data!AD:AD,MATCH($P28,Data!$AL:$AL,0))</f>
        <v>1</v>
      </c>
      <c r="N28" s="1" t="b">
        <f>INDEX(Data!AF:AF,MATCH($P28,Data!$AL:$AL,0))</f>
        <v>1</v>
      </c>
      <c r="O28" s="1">
        <f>INDEX(Data!Q:Q,MATCH($P28,Data!$AL:$AL,0))</f>
        <v>10</v>
      </c>
      <c r="P28" s="1" t="s">
        <v>46</v>
      </c>
      <c r="Q28" s="4" t="str">
        <f t="shared" si="0"/>
        <v>SPACL2024-01-18 17-38-31</v>
      </c>
    </row>
    <row r="29" spans="1:17" x14ac:dyDescent="0.25">
      <c r="A29" s="3">
        <v>28</v>
      </c>
      <c r="B29" s="218" t="s">
        <v>40</v>
      </c>
      <c r="C29" s="170">
        <f>INDEX(Data!M:M,MATCH(Q29,Data!AM:AM,0))</f>
        <v>93.541666669999998</v>
      </c>
      <c r="D29" s="172">
        <f>INDEX(Data!O:O,MATCH(Q29,Data!AM:AM,0))</f>
        <v>80.48</v>
      </c>
      <c r="E29" s="2">
        <f>INDEX(Data!T:T,MATCH($P29,Data!$AL:$AL,0))</f>
        <v>8</v>
      </c>
      <c r="F29" s="2">
        <f>INDEX(Data!P:P,MATCH($P29,Data!$AL:$AL,0))</f>
        <v>500</v>
      </c>
      <c r="G29" s="2">
        <f>INDEX(Data!Z:Z,MATCH($P29,Data!$AL:$AL,0))</f>
        <v>48</v>
      </c>
      <c r="H29" s="2">
        <f>INDEX(Data!AA:AA,MATCH($P29,Data!$AL:$AL,0))</f>
        <v>1000</v>
      </c>
      <c r="I29" s="2" t="str">
        <f>INDEX(Data!AB:AB,MATCH($P29,Data!$AL:$AL,0))</f>
        <v>[0.2, 0.1, 0.1, 0.1, 0.1, 0.1, 0.1, 0.1, 0.1]</v>
      </c>
      <c r="J29" s="2" t="str">
        <f>INDEX(Data!V:V,MATCH($P29,Data!$AL:$AL,0))</f>
        <v>Adam</v>
      </c>
      <c r="K29" s="2" t="str">
        <f>INDEX(Data!W:W,MATCH($P29,Data!$AL:$AL,0))</f>
        <v>cross_entropy</v>
      </c>
      <c r="L29" s="2" t="str">
        <f>INDEX(Data!X:X,MATCH($P29,Data!$AL:$AL,0))</f>
        <v>uniform</v>
      </c>
      <c r="M29" s="2" t="b">
        <f>INDEX(Data!AD:AD,MATCH($P29,Data!$AL:$AL,0))</f>
        <v>0</v>
      </c>
      <c r="N29" s="2" t="b">
        <f>INDEX(Data!AF:AF,MATCH($P29,Data!$AL:$AL,0))</f>
        <v>1</v>
      </c>
      <c r="O29" s="2">
        <f>INDEX(Data!Q:Q,MATCH($P29,Data!$AL:$AL,0))</f>
        <v>10</v>
      </c>
      <c r="P29" t="s">
        <v>47</v>
      </c>
      <c r="Q29" s="3" t="str">
        <f t="shared" si="0"/>
        <v>NCL2024-01-18 18-22-18</v>
      </c>
    </row>
    <row r="30" spans="1:17" x14ac:dyDescent="0.25">
      <c r="A30" s="3">
        <v>29</v>
      </c>
      <c r="B30" s="216" t="s">
        <v>41</v>
      </c>
      <c r="C30" s="34">
        <f>INDEX(Data!M:M,MATCH(Q30,Data!AM:AM,0))</f>
        <v>87.5</v>
      </c>
      <c r="D30" s="35">
        <f>INDEX(Data!O:O,MATCH(Q30,Data!AM:AM,0))</f>
        <v>77.81</v>
      </c>
      <c r="E30">
        <f>INDEX(Data!T:T,MATCH($P30,Data!$AL:$AL,0))</f>
        <v>8</v>
      </c>
      <c r="F30">
        <f>INDEX(Data!P:P,MATCH($P30,Data!$AL:$AL,0))</f>
        <v>500</v>
      </c>
      <c r="G30">
        <f>INDEX(Data!Z:Z,MATCH($P30,Data!$AL:$AL,0))</f>
        <v>48</v>
      </c>
      <c r="H30">
        <f>INDEX(Data!AA:AA,MATCH($P30,Data!$AL:$AL,0))</f>
        <v>1000</v>
      </c>
      <c r="I30" t="str">
        <f>INDEX(Data!AB:AB,MATCH($P30,Data!$AL:$AL,0))</f>
        <v>[0.2, 0.1, 0.1, 0.1, 0.1, 0.1, 0.1, 0.1, 0.1]</v>
      </c>
      <c r="J30" t="str">
        <f>INDEX(Data!V:V,MATCH($P30,Data!$AL:$AL,0))</f>
        <v>Adam</v>
      </c>
      <c r="K30" t="str">
        <f>INDEX(Data!W:W,MATCH($P30,Data!$AL:$AL,0))</f>
        <v>cross_entropy</v>
      </c>
      <c r="L30" t="str">
        <f>INDEX(Data!X:X,MATCH($P30,Data!$AL:$AL,0))</f>
        <v>uniform</v>
      </c>
      <c r="M30" t="b">
        <f>INDEX(Data!AD:AD,MATCH($P30,Data!$AL:$AL,0))</f>
        <v>0</v>
      </c>
      <c r="N30" t="b">
        <f>INDEX(Data!AF:AF,MATCH($P30,Data!$AL:$AL,0))</f>
        <v>1</v>
      </c>
      <c r="O30">
        <f>INDEX(Data!Q:Q,MATCH($P30,Data!$AL:$AL,0))</f>
        <v>10</v>
      </c>
      <c r="P30" t="s">
        <v>47</v>
      </c>
      <c r="Q30" s="3" t="str">
        <f t="shared" si="0"/>
        <v>CL2024-01-18 18-22-18</v>
      </c>
    </row>
    <row r="31" spans="1:17" x14ac:dyDescent="0.25">
      <c r="A31" s="3">
        <v>30</v>
      </c>
      <c r="B31" s="216" t="s">
        <v>42</v>
      </c>
      <c r="C31" s="15">
        <f>INDEX(Data!M:M,MATCH(Q31,Data!AM:AM,0))</f>
        <v>93.958333330000002</v>
      </c>
      <c r="D31" s="15">
        <f>INDEX(Data!O:O,MATCH(Q31,Data!AM:AM,0))</f>
        <v>83.02</v>
      </c>
      <c r="E31">
        <f>INDEX(Data!T:T,MATCH($P31,Data!$AL:$AL,0))</f>
        <v>8</v>
      </c>
      <c r="F31">
        <f>INDEX(Data!P:P,MATCH($P31,Data!$AL:$AL,0))</f>
        <v>500</v>
      </c>
      <c r="G31">
        <f>INDEX(Data!Z:Z,MATCH($P31,Data!$AL:$AL,0))</f>
        <v>48</v>
      </c>
      <c r="H31">
        <f>INDEX(Data!AA:AA,MATCH($P31,Data!$AL:$AL,0))</f>
        <v>1000</v>
      </c>
      <c r="I31" t="str">
        <f>INDEX(Data!AB:AB,MATCH($P31,Data!$AL:$AL,0))</f>
        <v>[0.2, 0.1, 0.1, 0.1, 0.1, 0.1, 0.1, 0.1, 0.1]</v>
      </c>
      <c r="J31" t="str">
        <f>INDEX(Data!V:V,MATCH($P31,Data!$AL:$AL,0))</f>
        <v>Adam</v>
      </c>
      <c r="K31" t="str">
        <f>INDEX(Data!W:W,MATCH($P31,Data!$AL:$AL,0))</f>
        <v>cross_entropy</v>
      </c>
      <c r="L31" t="str">
        <f>INDEX(Data!X:X,MATCH($P31,Data!$AL:$AL,0))</f>
        <v>uniform</v>
      </c>
      <c r="M31" t="b">
        <f>INDEX(Data!AD:AD,MATCH($P31,Data!$AL:$AL,0))</f>
        <v>0</v>
      </c>
      <c r="N31" t="b">
        <f>INDEX(Data!AF:AF,MATCH($P31,Data!$AL:$AL,0))</f>
        <v>1</v>
      </c>
      <c r="O31">
        <f>INDEX(Data!Q:Q,MATCH($P31,Data!$AL:$AL,0))</f>
        <v>10</v>
      </c>
      <c r="P31" t="s">
        <v>47</v>
      </c>
      <c r="Q31" s="3" t="str">
        <f t="shared" si="0"/>
        <v>ACL2024-01-18 18-22-18</v>
      </c>
    </row>
    <row r="32" spans="1:17" x14ac:dyDescent="0.25">
      <c r="A32" s="3">
        <v>31</v>
      </c>
      <c r="B32" s="216" t="s">
        <v>43</v>
      </c>
      <c r="C32" s="10">
        <f>INDEX(Data!M:M,MATCH(Q32,Data!AM:AM,0))</f>
        <v>91.875</v>
      </c>
      <c r="D32" s="10">
        <f>INDEX(Data!O:O,MATCH(Q32,Data!AM:AM,0))</f>
        <v>80.349999999999994</v>
      </c>
      <c r="E32">
        <f>INDEX(Data!T:T,MATCH($P32,Data!$AL:$AL,0))</f>
        <v>8</v>
      </c>
      <c r="F32">
        <f>INDEX(Data!P:P,MATCH($P32,Data!$AL:$AL,0))</f>
        <v>500</v>
      </c>
      <c r="G32">
        <f>INDEX(Data!Z:Z,MATCH($P32,Data!$AL:$AL,0))</f>
        <v>48</v>
      </c>
      <c r="H32">
        <f>INDEX(Data!AA:AA,MATCH($P32,Data!$AL:$AL,0))</f>
        <v>1000</v>
      </c>
      <c r="I32" t="str">
        <f>INDEX(Data!AB:AB,MATCH($P32,Data!$AL:$AL,0))</f>
        <v>[0.2, 0.1, 0.1, 0.1, 0.1, 0.1, 0.1, 0.1, 0.1]</v>
      </c>
      <c r="J32" t="str">
        <f>INDEX(Data!V:V,MATCH($P32,Data!$AL:$AL,0))</f>
        <v>Adam</v>
      </c>
      <c r="K32" t="str">
        <f>INDEX(Data!W:W,MATCH($P32,Data!$AL:$AL,0))</f>
        <v>cross_entropy</v>
      </c>
      <c r="L32" t="str">
        <f>INDEX(Data!X:X,MATCH($P32,Data!$AL:$AL,0))</f>
        <v>uniform</v>
      </c>
      <c r="M32" t="b">
        <f>INDEX(Data!AD:AD,MATCH($P32,Data!$AL:$AL,0))</f>
        <v>0</v>
      </c>
      <c r="N32" t="b">
        <f>INDEX(Data!AF:AF,MATCH($P32,Data!$AL:$AL,0))</f>
        <v>1</v>
      </c>
      <c r="O32">
        <f>INDEX(Data!Q:Q,MATCH($P32,Data!$AL:$AL,0))</f>
        <v>10</v>
      </c>
      <c r="P32" t="s">
        <v>47</v>
      </c>
      <c r="Q32" s="3" t="str">
        <f t="shared" si="0"/>
        <v>SPCL2024-01-18 18-22-18</v>
      </c>
    </row>
    <row r="33" spans="1:17" x14ac:dyDescent="0.25">
      <c r="A33" s="4">
        <v>32</v>
      </c>
      <c r="B33" s="217" t="s">
        <v>44</v>
      </c>
      <c r="C33" s="36">
        <f>INDEX(Data!M:M,MATCH(Q33,Data!AM:AM,0))</f>
        <v>86.041666669999998</v>
      </c>
      <c r="D33" s="36">
        <f>INDEX(Data!O:O,MATCH(Q33,Data!AM:AM,0))</f>
        <v>75.59</v>
      </c>
      <c r="E33" s="1">
        <f>INDEX(Data!T:T,MATCH($P33,Data!$AL:$AL,0))</f>
        <v>8</v>
      </c>
      <c r="F33" s="1">
        <f>INDEX(Data!P:P,MATCH($P33,Data!$AL:$AL,0))</f>
        <v>500</v>
      </c>
      <c r="G33" s="1">
        <f>INDEX(Data!Z:Z,MATCH($P33,Data!$AL:$AL,0))</f>
        <v>48</v>
      </c>
      <c r="H33" s="1">
        <f>INDEX(Data!AA:AA,MATCH($P33,Data!$AL:$AL,0))</f>
        <v>1000</v>
      </c>
      <c r="I33" s="1" t="str">
        <f>INDEX(Data!AB:AB,MATCH($P33,Data!$AL:$AL,0))</f>
        <v>[0.2, 0.1, 0.1, 0.1, 0.1, 0.1, 0.1, 0.1, 0.1]</v>
      </c>
      <c r="J33" s="1" t="str">
        <f>INDEX(Data!V:V,MATCH($P33,Data!$AL:$AL,0))</f>
        <v>Adam</v>
      </c>
      <c r="K33" s="1" t="str">
        <f>INDEX(Data!W:W,MATCH($P33,Data!$AL:$AL,0))</f>
        <v>cross_entropy</v>
      </c>
      <c r="L33" s="1" t="str">
        <f>INDEX(Data!X:X,MATCH($P33,Data!$AL:$AL,0))</f>
        <v>uniform</v>
      </c>
      <c r="M33" s="1" t="b">
        <f>INDEX(Data!AD:AD,MATCH($P33,Data!$AL:$AL,0))</f>
        <v>0</v>
      </c>
      <c r="N33" s="1" t="b">
        <f>INDEX(Data!AF:AF,MATCH($P33,Data!$AL:$AL,0))</f>
        <v>1</v>
      </c>
      <c r="O33" s="1">
        <f>INDEX(Data!Q:Q,MATCH($P33,Data!$AL:$AL,0))</f>
        <v>10</v>
      </c>
      <c r="P33" s="1" t="s">
        <v>47</v>
      </c>
      <c r="Q33" s="4" t="str">
        <f t="shared" si="0"/>
        <v>SPACL2024-01-18 18-22-18</v>
      </c>
    </row>
    <row r="34" spans="1:17" x14ac:dyDescent="0.25">
      <c r="A34" s="3">
        <v>33</v>
      </c>
      <c r="B34" s="218" t="s">
        <v>40</v>
      </c>
      <c r="C34" s="13">
        <f>INDEX(Data!M:M,MATCH(Q34,Data!AM:AM,0))</f>
        <v>96.041666669999998</v>
      </c>
      <c r="D34" s="37">
        <f>INDEX(Data!O:O,MATCH(Q34,Data!AM:AM,0))</f>
        <v>88.42</v>
      </c>
      <c r="E34" s="2">
        <f>INDEX(Data!T:T,MATCH($P34,Data!$AL:$AL,0))</f>
        <v>8</v>
      </c>
      <c r="F34" s="2">
        <f>INDEX(Data!P:P,MATCH($P34,Data!$AL:$AL,0))</f>
        <v>500</v>
      </c>
      <c r="G34" s="2">
        <f>INDEX(Data!Z:Z,MATCH($P34,Data!$AL:$AL,0))</f>
        <v>48</v>
      </c>
      <c r="H34" s="2">
        <f>INDEX(Data!AA:AA,MATCH($P34,Data!$AL:$AL,0))</f>
        <v>1000</v>
      </c>
      <c r="I34" s="2" t="str">
        <f>INDEX(Data!AB:AB,MATCH($P34,Data!$AL:$AL,0))</f>
        <v>[0.3, 0.2, 0.2, 0.2, 0.1]</v>
      </c>
      <c r="J34" s="2" t="str">
        <f>INDEX(Data!V:V,MATCH($P34,Data!$AL:$AL,0))</f>
        <v>Adam</v>
      </c>
      <c r="K34" s="2" t="str">
        <f>INDEX(Data!W:W,MATCH($P34,Data!$AL:$AL,0))</f>
        <v>cross_entropy</v>
      </c>
      <c r="L34" s="2" t="str">
        <f>INDEX(Data!X:X,MATCH($P34,Data!$AL:$AL,0))</f>
        <v>uniform</v>
      </c>
      <c r="M34" s="2" t="b">
        <f>INDEX(Data!AD:AD,MATCH($P34,Data!$AL:$AL,0))</f>
        <v>1</v>
      </c>
      <c r="N34" s="2" t="b">
        <f>INDEX(Data!AF:AF,MATCH($P34,Data!$AL:$AL,0))</f>
        <v>1</v>
      </c>
      <c r="O34" s="2">
        <f>INDEX(Data!Q:Q,MATCH($P34,Data!$AL:$AL,0))</f>
        <v>10</v>
      </c>
      <c r="P34" t="s">
        <v>48</v>
      </c>
      <c r="Q34" s="3" t="str">
        <f t="shared" si="0"/>
        <v>NCL2024-01-18 20-01-23</v>
      </c>
    </row>
    <row r="35" spans="1:17" x14ac:dyDescent="0.25">
      <c r="A35" s="3">
        <v>34</v>
      </c>
      <c r="B35" s="216" t="s">
        <v>41</v>
      </c>
      <c r="C35" s="38">
        <f>INDEX(Data!M:M,MATCH(Q35,Data!AM:AM,0))</f>
        <v>93.125</v>
      </c>
      <c r="D35" s="11">
        <f>INDEX(Data!O:O,MATCH(Q35,Data!AM:AM,0))</f>
        <v>84.78</v>
      </c>
      <c r="E35">
        <f>INDEX(Data!T:T,MATCH($P35,Data!$AL:$AL,0))</f>
        <v>8</v>
      </c>
      <c r="F35">
        <f>INDEX(Data!P:P,MATCH($P35,Data!$AL:$AL,0))</f>
        <v>500</v>
      </c>
      <c r="G35">
        <f>INDEX(Data!Z:Z,MATCH($P35,Data!$AL:$AL,0))</f>
        <v>48</v>
      </c>
      <c r="H35">
        <f>INDEX(Data!AA:AA,MATCH($P35,Data!$AL:$AL,0))</f>
        <v>1000</v>
      </c>
      <c r="I35" t="str">
        <f>INDEX(Data!AB:AB,MATCH($P35,Data!$AL:$AL,0))</f>
        <v>[0.3, 0.2, 0.2, 0.2, 0.1]</v>
      </c>
      <c r="J35" t="str">
        <f>INDEX(Data!V:V,MATCH($P35,Data!$AL:$AL,0))</f>
        <v>Adam</v>
      </c>
      <c r="K35" t="str">
        <f>INDEX(Data!W:W,MATCH($P35,Data!$AL:$AL,0))</f>
        <v>cross_entropy</v>
      </c>
      <c r="L35" t="str">
        <f>INDEX(Data!X:X,MATCH($P35,Data!$AL:$AL,0))</f>
        <v>uniform</v>
      </c>
      <c r="M35" t="b">
        <f>INDEX(Data!AD:AD,MATCH($P35,Data!$AL:$AL,0))</f>
        <v>1</v>
      </c>
      <c r="N35" t="b">
        <f>INDEX(Data!AF:AF,MATCH($P35,Data!$AL:$AL,0))</f>
        <v>1</v>
      </c>
      <c r="O35">
        <f>INDEX(Data!Q:Q,MATCH($P35,Data!$AL:$AL,0))</f>
        <v>10</v>
      </c>
      <c r="P35" t="s">
        <v>48</v>
      </c>
      <c r="Q35" s="3" t="str">
        <f t="shared" si="0"/>
        <v>CL2024-01-18 20-01-23</v>
      </c>
    </row>
    <row r="36" spans="1:17" x14ac:dyDescent="0.25">
      <c r="A36" s="3">
        <v>35</v>
      </c>
      <c r="B36" s="216" t="s">
        <v>42</v>
      </c>
      <c r="C36" s="11">
        <f>INDEX(Data!M:M,MATCH(Q36,Data!AM:AM,0))</f>
        <v>92.916666669999998</v>
      </c>
      <c r="D36" s="39">
        <f>INDEX(Data!O:O,MATCH(Q36,Data!AM:AM,0))</f>
        <v>86.3</v>
      </c>
      <c r="E36">
        <f>INDEX(Data!T:T,MATCH($P36,Data!$AL:$AL,0))</f>
        <v>8</v>
      </c>
      <c r="F36">
        <f>INDEX(Data!P:P,MATCH($P36,Data!$AL:$AL,0))</f>
        <v>500</v>
      </c>
      <c r="G36">
        <f>INDEX(Data!Z:Z,MATCH($P36,Data!$AL:$AL,0))</f>
        <v>48</v>
      </c>
      <c r="H36">
        <f>INDEX(Data!AA:AA,MATCH($P36,Data!$AL:$AL,0))</f>
        <v>1000</v>
      </c>
      <c r="I36" t="str">
        <f>INDEX(Data!AB:AB,MATCH($P36,Data!$AL:$AL,0))</f>
        <v>[0.3, 0.2, 0.2, 0.2, 0.1]</v>
      </c>
      <c r="J36" t="str">
        <f>INDEX(Data!V:V,MATCH($P36,Data!$AL:$AL,0))</f>
        <v>Adam</v>
      </c>
      <c r="K36" t="str">
        <f>INDEX(Data!W:W,MATCH($P36,Data!$AL:$AL,0))</f>
        <v>cross_entropy</v>
      </c>
      <c r="L36" t="str">
        <f>INDEX(Data!X:X,MATCH($P36,Data!$AL:$AL,0))</f>
        <v>uniform</v>
      </c>
      <c r="M36" t="b">
        <f>INDEX(Data!AD:AD,MATCH($P36,Data!$AL:$AL,0))</f>
        <v>1</v>
      </c>
      <c r="N36" t="b">
        <f>INDEX(Data!AF:AF,MATCH($P36,Data!$AL:$AL,0))</f>
        <v>1</v>
      </c>
      <c r="O36">
        <f>INDEX(Data!Q:Q,MATCH($P36,Data!$AL:$AL,0))</f>
        <v>10</v>
      </c>
      <c r="P36" t="s">
        <v>48</v>
      </c>
      <c r="Q36" s="3" t="str">
        <f t="shared" si="0"/>
        <v>ACL2024-01-18 20-01-23</v>
      </c>
    </row>
    <row r="37" spans="1:17" x14ac:dyDescent="0.25">
      <c r="A37" s="3">
        <v>36</v>
      </c>
      <c r="B37" s="216" t="s">
        <v>43</v>
      </c>
      <c r="C37" s="10">
        <f>INDEX(Data!M:M,MATCH(Q37,Data!AM:AM,0))</f>
        <v>96.041666669999998</v>
      </c>
      <c r="D37" s="10">
        <f>INDEX(Data!O:O,MATCH(Q37,Data!AM:AM,0))</f>
        <v>87.3</v>
      </c>
      <c r="E37">
        <f>INDEX(Data!T:T,MATCH($P37,Data!$AL:$AL,0))</f>
        <v>8</v>
      </c>
      <c r="F37">
        <f>INDEX(Data!P:P,MATCH($P37,Data!$AL:$AL,0))</f>
        <v>500</v>
      </c>
      <c r="G37">
        <f>INDEX(Data!Z:Z,MATCH($P37,Data!$AL:$AL,0))</f>
        <v>48</v>
      </c>
      <c r="H37">
        <f>INDEX(Data!AA:AA,MATCH($P37,Data!$AL:$AL,0))</f>
        <v>1000</v>
      </c>
      <c r="I37" t="str">
        <f>INDEX(Data!AB:AB,MATCH($P37,Data!$AL:$AL,0))</f>
        <v>[0.3, 0.2, 0.2, 0.2, 0.1]</v>
      </c>
      <c r="J37" t="str">
        <f>INDEX(Data!V:V,MATCH($P37,Data!$AL:$AL,0))</f>
        <v>Adam</v>
      </c>
      <c r="K37" t="str">
        <f>INDEX(Data!W:W,MATCH($P37,Data!$AL:$AL,0))</f>
        <v>cross_entropy</v>
      </c>
      <c r="L37" t="str">
        <f>INDEX(Data!X:X,MATCH($P37,Data!$AL:$AL,0))</f>
        <v>uniform</v>
      </c>
      <c r="M37" t="b">
        <f>INDEX(Data!AD:AD,MATCH($P37,Data!$AL:$AL,0))</f>
        <v>1</v>
      </c>
      <c r="N37" t="b">
        <f>INDEX(Data!AF:AF,MATCH($P37,Data!$AL:$AL,0))</f>
        <v>1</v>
      </c>
      <c r="O37">
        <f>INDEX(Data!Q:Q,MATCH($P37,Data!$AL:$AL,0))</f>
        <v>10</v>
      </c>
      <c r="P37" t="s">
        <v>48</v>
      </c>
      <c r="Q37" s="3" t="str">
        <f t="shared" si="0"/>
        <v>SPCL2024-01-18 20-01-23</v>
      </c>
    </row>
    <row r="38" spans="1:17" x14ac:dyDescent="0.25">
      <c r="A38" s="4">
        <v>37</v>
      </c>
      <c r="B38" s="217" t="s">
        <v>44</v>
      </c>
      <c r="C38" s="12">
        <f>INDEX(Data!M:M,MATCH(Q38,Data!AM:AM,0))</f>
        <v>97.708333330000002</v>
      </c>
      <c r="D38" s="12">
        <f>INDEX(Data!O:O,MATCH(Q38,Data!AM:AM,0))</f>
        <v>89.15</v>
      </c>
      <c r="E38" s="1">
        <f>INDEX(Data!T:T,MATCH($P38,Data!$AL:$AL,0))</f>
        <v>8</v>
      </c>
      <c r="F38" s="1">
        <f>INDEX(Data!P:P,MATCH($P38,Data!$AL:$AL,0))</f>
        <v>500</v>
      </c>
      <c r="G38" s="1">
        <f>INDEX(Data!Z:Z,MATCH($P38,Data!$AL:$AL,0))</f>
        <v>48</v>
      </c>
      <c r="H38" s="1">
        <f>INDEX(Data!AA:AA,MATCH($P38,Data!$AL:$AL,0))</f>
        <v>1000</v>
      </c>
      <c r="I38" s="1" t="str">
        <f>INDEX(Data!AB:AB,MATCH($P38,Data!$AL:$AL,0))</f>
        <v>[0.3, 0.2, 0.2, 0.2, 0.1]</v>
      </c>
      <c r="J38" s="1" t="str">
        <f>INDEX(Data!V:V,MATCH($P38,Data!$AL:$AL,0))</f>
        <v>Adam</v>
      </c>
      <c r="K38" s="1" t="str">
        <f>INDEX(Data!W:W,MATCH($P38,Data!$AL:$AL,0))</f>
        <v>cross_entropy</v>
      </c>
      <c r="L38" s="1" t="str">
        <f>INDEX(Data!X:X,MATCH($P38,Data!$AL:$AL,0))</f>
        <v>uniform</v>
      </c>
      <c r="M38" s="1" t="b">
        <f>INDEX(Data!AD:AD,MATCH($P38,Data!$AL:$AL,0))</f>
        <v>1</v>
      </c>
      <c r="N38" s="1" t="b">
        <f>INDEX(Data!AF:AF,MATCH($P38,Data!$AL:$AL,0))</f>
        <v>1</v>
      </c>
      <c r="O38" s="1">
        <f>INDEX(Data!Q:Q,MATCH($P38,Data!$AL:$AL,0))</f>
        <v>10</v>
      </c>
      <c r="P38" s="1" t="s">
        <v>48</v>
      </c>
      <c r="Q38" s="4" t="str">
        <f t="shared" si="0"/>
        <v>SPACL2024-01-18 20-01-23</v>
      </c>
    </row>
    <row r="39" spans="1:17" x14ac:dyDescent="0.25">
      <c r="A39" s="3">
        <v>38</v>
      </c>
      <c r="B39" s="218" t="s">
        <v>40</v>
      </c>
      <c r="C39" s="40">
        <f>INDEX(Data!M:M,MATCH(Q39,Data!AM:AM,0))</f>
        <v>87.083333330000002</v>
      </c>
      <c r="D39" s="19">
        <f>INDEX(Data!O:O,MATCH(Q39,Data!AM:AM,0))</f>
        <v>85.8</v>
      </c>
      <c r="E39" s="2">
        <f>INDEX(Data!T:T,MATCH($P39,Data!$AL:$AL,0))</f>
        <v>8</v>
      </c>
      <c r="F39" s="2">
        <f>INDEX(Data!P:P,MATCH($P39,Data!$AL:$AL,0))</f>
        <v>500</v>
      </c>
      <c r="G39" s="2">
        <f>INDEX(Data!Z:Z,MATCH($P39,Data!$AL:$AL,0))</f>
        <v>48</v>
      </c>
      <c r="H39" s="2">
        <f>INDEX(Data!AA:AA,MATCH($P39,Data!$AL:$AL,0))</f>
        <v>1000</v>
      </c>
      <c r="I39" s="2" t="str">
        <f>INDEX(Data!AB:AB,MATCH($P39,Data!$AL:$AL,0))</f>
        <v>[0.3, 0.2, 0.2, 0.2, 0.1]</v>
      </c>
      <c r="J39" s="2" t="str">
        <f>INDEX(Data!V:V,MATCH($P39,Data!$AL:$AL,0))</f>
        <v>Adam</v>
      </c>
      <c r="K39" s="2" t="str">
        <f>INDEX(Data!W:W,MATCH($P39,Data!$AL:$AL,0))</f>
        <v>cross_entropy</v>
      </c>
      <c r="L39" s="2" t="str">
        <f>INDEX(Data!X:X,MATCH($P39,Data!$AL:$AL,0))</f>
        <v>uniform</v>
      </c>
      <c r="M39" s="2" t="b">
        <f>INDEX(Data!AD:AD,MATCH($P39,Data!$AL:$AL,0))</f>
        <v>0</v>
      </c>
      <c r="N39" s="2" t="b">
        <f>INDEX(Data!AF:AF,MATCH($P39,Data!$AL:$AL,0))</f>
        <v>1</v>
      </c>
      <c r="O39" s="2">
        <f>INDEX(Data!Q:Q,MATCH($P39,Data!$AL:$AL,0))</f>
        <v>10</v>
      </c>
      <c r="P39" t="s">
        <v>49</v>
      </c>
      <c r="Q39" s="3" t="str">
        <f t="shared" si="0"/>
        <v>NCL2024-01-18 21-26-07</v>
      </c>
    </row>
    <row r="40" spans="1:17" x14ac:dyDescent="0.25">
      <c r="A40" s="3">
        <v>39</v>
      </c>
      <c r="B40" s="216" t="s">
        <v>41</v>
      </c>
      <c r="C40" s="11">
        <f>INDEX(Data!M:M,MATCH(Q40,Data!AM:AM,0))</f>
        <v>82.291666669999998</v>
      </c>
      <c r="D40" s="11">
        <f>INDEX(Data!O:O,MATCH(Q40,Data!AM:AM,0))</f>
        <v>80.8</v>
      </c>
      <c r="E40">
        <f>INDEX(Data!T:T,MATCH($P40,Data!$AL:$AL,0))</f>
        <v>8</v>
      </c>
      <c r="F40">
        <f>INDEX(Data!P:P,MATCH($P40,Data!$AL:$AL,0))</f>
        <v>500</v>
      </c>
      <c r="G40">
        <f>INDEX(Data!Z:Z,MATCH($P40,Data!$AL:$AL,0))</f>
        <v>48</v>
      </c>
      <c r="H40">
        <f>INDEX(Data!AA:AA,MATCH($P40,Data!$AL:$AL,0))</f>
        <v>1000</v>
      </c>
      <c r="I40" t="str">
        <f>INDEX(Data!AB:AB,MATCH($P40,Data!$AL:$AL,0))</f>
        <v>[0.3, 0.2, 0.2, 0.2, 0.1]</v>
      </c>
      <c r="J40" t="str">
        <f>INDEX(Data!V:V,MATCH($P40,Data!$AL:$AL,0))</f>
        <v>Adam</v>
      </c>
      <c r="K40" t="str">
        <f>INDEX(Data!W:W,MATCH($P40,Data!$AL:$AL,0))</f>
        <v>cross_entropy</v>
      </c>
      <c r="L40" t="str">
        <f>INDEX(Data!X:X,MATCH($P40,Data!$AL:$AL,0))</f>
        <v>uniform</v>
      </c>
      <c r="M40" t="b">
        <f>INDEX(Data!AD:AD,MATCH($P40,Data!$AL:$AL,0))</f>
        <v>0</v>
      </c>
      <c r="N40" t="b">
        <f>INDEX(Data!AF:AF,MATCH($P40,Data!$AL:$AL,0))</f>
        <v>1</v>
      </c>
      <c r="O40">
        <f>INDEX(Data!Q:Q,MATCH($P40,Data!$AL:$AL,0))</f>
        <v>10</v>
      </c>
      <c r="P40" t="s">
        <v>49</v>
      </c>
      <c r="Q40" s="3" t="str">
        <f t="shared" si="0"/>
        <v>CL2024-01-18 21-26-07</v>
      </c>
    </row>
    <row r="41" spans="1:17" x14ac:dyDescent="0.25">
      <c r="A41" s="3">
        <v>40</v>
      </c>
      <c r="B41" s="216" t="s">
        <v>42</v>
      </c>
      <c r="C41" s="15">
        <f>INDEX(Data!M:M,MATCH(Q41,Data!AM:AM,0))</f>
        <v>88.75</v>
      </c>
      <c r="D41" s="41">
        <f>INDEX(Data!O:O,MATCH(Q41,Data!AM:AM,0))</f>
        <v>84.94</v>
      </c>
      <c r="E41">
        <f>INDEX(Data!T:T,MATCH($P41,Data!$AL:$AL,0))</f>
        <v>8</v>
      </c>
      <c r="F41">
        <f>INDEX(Data!P:P,MATCH($P41,Data!$AL:$AL,0))</f>
        <v>500</v>
      </c>
      <c r="G41">
        <f>INDEX(Data!Z:Z,MATCH($P41,Data!$AL:$AL,0))</f>
        <v>48</v>
      </c>
      <c r="H41">
        <f>INDEX(Data!AA:AA,MATCH($P41,Data!$AL:$AL,0))</f>
        <v>1000</v>
      </c>
      <c r="I41" t="str">
        <f>INDEX(Data!AB:AB,MATCH($P41,Data!$AL:$AL,0))</f>
        <v>[0.3, 0.2, 0.2, 0.2, 0.1]</v>
      </c>
      <c r="J41" t="str">
        <f>INDEX(Data!V:V,MATCH($P41,Data!$AL:$AL,0))</f>
        <v>Adam</v>
      </c>
      <c r="K41" t="str">
        <f>INDEX(Data!W:W,MATCH($P41,Data!$AL:$AL,0))</f>
        <v>cross_entropy</v>
      </c>
      <c r="L41" t="str">
        <f>INDEX(Data!X:X,MATCH($P41,Data!$AL:$AL,0))</f>
        <v>uniform</v>
      </c>
      <c r="M41" t="b">
        <f>INDEX(Data!AD:AD,MATCH($P41,Data!$AL:$AL,0))</f>
        <v>0</v>
      </c>
      <c r="N41" t="b">
        <f>INDEX(Data!AF:AF,MATCH($P41,Data!$AL:$AL,0))</f>
        <v>1</v>
      </c>
      <c r="O41">
        <f>INDEX(Data!Q:Q,MATCH($P41,Data!$AL:$AL,0))</f>
        <v>10</v>
      </c>
      <c r="P41" t="s">
        <v>49</v>
      </c>
      <c r="Q41" s="3" t="str">
        <f t="shared" si="0"/>
        <v>ACL2024-01-18 21-26-07</v>
      </c>
    </row>
    <row r="42" spans="1:17" x14ac:dyDescent="0.25">
      <c r="A42" s="3">
        <v>41</v>
      </c>
      <c r="B42" s="216" t="s">
        <v>43</v>
      </c>
      <c r="C42" s="42">
        <f>INDEX(Data!M:M,MATCH(Q42,Data!AM:AM,0))</f>
        <v>84.166666669999998</v>
      </c>
      <c r="D42" s="28">
        <f>INDEX(Data!O:O,MATCH(Q42,Data!AM:AM,0))</f>
        <v>81.7</v>
      </c>
      <c r="E42">
        <f>INDEX(Data!T:T,MATCH($P42,Data!$AL:$AL,0))</f>
        <v>8</v>
      </c>
      <c r="F42">
        <f>INDEX(Data!P:P,MATCH($P42,Data!$AL:$AL,0))</f>
        <v>500</v>
      </c>
      <c r="G42">
        <f>INDEX(Data!Z:Z,MATCH($P42,Data!$AL:$AL,0))</f>
        <v>48</v>
      </c>
      <c r="H42">
        <f>INDEX(Data!AA:AA,MATCH($P42,Data!$AL:$AL,0))</f>
        <v>1000</v>
      </c>
      <c r="I42" t="str">
        <f>INDEX(Data!AB:AB,MATCH($P42,Data!$AL:$AL,0))</f>
        <v>[0.3, 0.2, 0.2, 0.2, 0.1]</v>
      </c>
      <c r="J42" t="str">
        <f>INDEX(Data!V:V,MATCH($P42,Data!$AL:$AL,0))</f>
        <v>Adam</v>
      </c>
      <c r="K42" t="str">
        <f>INDEX(Data!W:W,MATCH($P42,Data!$AL:$AL,0))</f>
        <v>cross_entropy</v>
      </c>
      <c r="L42" t="str">
        <f>INDEX(Data!X:X,MATCH($P42,Data!$AL:$AL,0))</f>
        <v>uniform</v>
      </c>
      <c r="M42" t="b">
        <f>INDEX(Data!AD:AD,MATCH($P42,Data!$AL:$AL,0))</f>
        <v>0</v>
      </c>
      <c r="N42" t="b">
        <f>INDEX(Data!AF:AF,MATCH($P42,Data!$AL:$AL,0))</f>
        <v>1</v>
      </c>
      <c r="O42">
        <f>INDEX(Data!Q:Q,MATCH($P42,Data!$AL:$AL,0))</f>
        <v>10</v>
      </c>
      <c r="P42" t="s">
        <v>49</v>
      </c>
      <c r="Q42" s="3" t="str">
        <f t="shared" si="0"/>
        <v>SPCL2024-01-18 21-26-07</v>
      </c>
    </row>
    <row r="43" spans="1:17" x14ac:dyDescent="0.25">
      <c r="A43" s="4">
        <v>42</v>
      </c>
      <c r="B43" s="217" t="s">
        <v>44</v>
      </c>
      <c r="C43" s="18">
        <f>INDEX(Data!M:M,MATCH(Q43,Data!AM:AM,0))</f>
        <v>85</v>
      </c>
      <c r="D43" s="18">
        <f>INDEX(Data!O:O,MATCH(Q43,Data!AM:AM,0))</f>
        <v>81.87</v>
      </c>
      <c r="E43" s="1">
        <f>INDEX(Data!T:T,MATCH($P43,Data!$AL:$AL,0))</f>
        <v>8</v>
      </c>
      <c r="F43" s="1">
        <f>INDEX(Data!P:P,MATCH($P43,Data!$AL:$AL,0))</f>
        <v>500</v>
      </c>
      <c r="G43" s="1">
        <f>INDEX(Data!Z:Z,MATCH($P43,Data!$AL:$AL,0))</f>
        <v>48</v>
      </c>
      <c r="H43" s="1">
        <f>INDEX(Data!AA:AA,MATCH($P43,Data!$AL:$AL,0))</f>
        <v>1000</v>
      </c>
      <c r="I43" s="1" t="str">
        <f>INDEX(Data!AB:AB,MATCH($P43,Data!$AL:$AL,0))</f>
        <v>[0.3, 0.2, 0.2, 0.2, 0.1]</v>
      </c>
      <c r="J43" s="1" t="str">
        <f>INDEX(Data!V:V,MATCH($P43,Data!$AL:$AL,0))</f>
        <v>Adam</v>
      </c>
      <c r="K43" s="1" t="str">
        <f>INDEX(Data!W:W,MATCH($P43,Data!$AL:$AL,0))</f>
        <v>cross_entropy</v>
      </c>
      <c r="L43" s="1" t="str">
        <f>INDEX(Data!X:X,MATCH($P43,Data!$AL:$AL,0))</f>
        <v>uniform</v>
      </c>
      <c r="M43" s="1" t="b">
        <f>INDEX(Data!AD:AD,MATCH($P43,Data!$AL:$AL,0))</f>
        <v>0</v>
      </c>
      <c r="N43" s="1" t="b">
        <f>INDEX(Data!AF:AF,MATCH($P43,Data!$AL:$AL,0))</f>
        <v>1</v>
      </c>
      <c r="O43" s="1">
        <f>INDEX(Data!Q:Q,MATCH($P43,Data!$AL:$AL,0))</f>
        <v>10</v>
      </c>
      <c r="P43" s="1" t="s">
        <v>49</v>
      </c>
      <c r="Q43" s="4" t="str">
        <f t="shared" si="0"/>
        <v>SPACL2024-01-18 21-26-07</v>
      </c>
    </row>
    <row r="44" spans="1:17" x14ac:dyDescent="0.25">
      <c r="A44" s="3">
        <v>43</v>
      </c>
      <c r="B44" s="218" t="s">
        <v>40</v>
      </c>
      <c r="C44" s="13">
        <f>INDEX(Data!M:M,MATCH(Q44,Data!AM:AM,0))</f>
        <v>89.374999999999901</v>
      </c>
      <c r="D44" s="13">
        <f>INDEX(Data!O:O,MATCH(Q44,Data!AM:AM,0))</f>
        <v>81.179999999999893</v>
      </c>
      <c r="E44" s="2">
        <f>INDEX(Data!T:T,MATCH($P44,Data!$AL:$AL,0))</f>
        <v>8</v>
      </c>
      <c r="F44" s="2">
        <f>INDEX(Data!P:P,MATCH($P44,Data!$AL:$AL,0))</f>
        <v>500</v>
      </c>
      <c r="G44" s="2">
        <f>INDEX(Data!Z:Z,MATCH($P44,Data!$AL:$AL,0))</f>
        <v>48</v>
      </c>
      <c r="H44" s="2">
        <f>INDEX(Data!AA:AA,MATCH($P44,Data!$AL:$AL,0))</f>
        <v>1000</v>
      </c>
      <c r="I44" s="2" t="str">
        <f>INDEX(Data!AB:AB,MATCH($P44,Data!$AL:$AL,0))</f>
        <v>[0.2, 0.1, 0.1, 0.1, 0.1, 0.1, 0.1, 0.1, 0.1]</v>
      </c>
      <c r="J44" s="2" t="str">
        <f>INDEX(Data!V:V,MATCH($P44,Data!$AL:$AL,0))</f>
        <v>Adam</v>
      </c>
      <c r="K44" s="2" t="str">
        <f>INDEX(Data!W:W,MATCH($P44,Data!$AL:$AL,0))</f>
        <v>cross_entropy</v>
      </c>
      <c r="L44" s="2" t="str">
        <f>INDEX(Data!X:X,MATCH($P44,Data!$AL:$AL,0))</f>
        <v>uniform</v>
      </c>
      <c r="M44" s="2" t="b">
        <f>INDEX(Data!AD:AD,MATCH($P44,Data!$AL:$AL,0))</f>
        <v>1</v>
      </c>
      <c r="N44" s="2" t="b">
        <f>INDEX(Data!AF:AF,MATCH($P44,Data!$AL:$AL,0))</f>
        <v>1</v>
      </c>
      <c r="O44" s="2">
        <f>INDEX(Data!Q:Q,MATCH($P44,Data!$AL:$AL,0))</f>
        <v>10</v>
      </c>
      <c r="P44" t="s">
        <v>56</v>
      </c>
      <c r="Q44" s="3" t="str">
        <f t="shared" si="0"/>
        <v>NCL2024-01-19 08-39-35</v>
      </c>
    </row>
    <row r="45" spans="1:17" x14ac:dyDescent="0.25">
      <c r="A45" s="3">
        <v>44</v>
      </c>
      <c r="B45" s="216" t="s">
        <v>41</v>
      </c>
      <c r="C45" s="43">
        <f>INDEX(Data!M:M,MATCH(Q45,Data!AM:AM,0))</f>
        <v>88.5416666666666</v>
      </c>
      <c r="D45" s="11">
        <f>INDEX(Data!O:O,MATCH(Q45,Data!AM:AM,0))</f>
        <v>78.479999999999905</v>
      </c>
      <c r="E45">
        <f>INDEX(Data!T:T,MATCH($P45,Data!$AL:$AL,0))</f>
        <v>8</v>
      </c>
      <c r="F45">
        <f>INDEX(Data!P:P,MATCH($P45,Data!$AL:$AL,0))</f>
        <v>500</v>
      </c>
      <c r="G45">
        <f>INDEX(Data!Z:Z,MATCH($P45,Data!$AL:$AL,0))</f>
        <v>48</v>
      </c>
      <c r="H45">
        <f>INDEX(Data!AA:AA,MATCH($P45,Data!$AL:$AL,0))</f>
        <v>1000</v>
      </c>
      <c r="I45" t="str">
        <f>INDEX(Data!AB:AB,MATCH($P45,Data!$AL:$AL,0))</f>
        <v>[0.2, 0.1, 0.1, 0.1, 0.1, 0.1, 0.1, 0.1, 0.1]</v>
      </c>
      <c r="J45" t="str">
        <f>INDEX(Data!V:V,MATCH($P45,Data!$AL:$AL,0))</f>
        <v>Adam</v>
      </c>
      <c r="K45" t="str">
        <f>INDEX(Data!W:W,MATCH($P45,Data!$AL:$AL,0))</f>
        <v>cross_entropy</v>
      </c>
      <c r="L45" t="str">
        <f>INDEX(Data!X:X,MATCH($P45,Data!$AL:$AL,0))</f>
        <v>uniform</v>
      </c>
      <c r="M45" t="b">
        <f>INDEX(Data!AD:AD,MATCH($P45,Data!$AL:$AL,0))</f>
        <v>1</v>
      </c>
      <c r="N45" t="b">
        <f>INDEX(Data!AF:AF,MATCH($P45,Data!$AL:$AL,0))</f>
        <v>1</v>
      </c>
      <c r="O45">
        <f>INDEX(Data!Q:Q,MATCH($P45,Data!$AL:$AL,0))</f>
        <v>10</v>
      </c>
      <c r="P45" t="s">
        <v>56</v>
      </c>
      <c r="Q45" s="3" t="str">
        <f t="shared" si="0"/>
        <v>CL2024-01-19 08-39-35</v>
      </c>
    </row>
    <row r="46" spans="1:17" x14ac:dyDescent="0.25">
      <c r="A46" s="3">
        <v>45</v>
      </c>
      <c r="B46" s="216" t="s">
        <v>42</v>
      </c>
      <c r="C46" s="15">
        <f>INDEX(Data!M:M,MATCH(Q46,Data!AM:AM,0))</f>
        <v>91.0416666666666</v>
      </c>
      <c r="D46" s="175">
        <f>INDEX(Data!O:O,MATCH(Q46,Data!AM:AM,0))</f>
        <v>82.63</v>
      </c>
      <c r="E46">
        <f>INDEX(Data!T:T,MATCH($P46,Data!$AL:$AL,0))</f>
        <v>8</v>
      </c>
      <c r="F46">
        <f>INDEX(Data!P:P,MATCH($P46,Data!$AL:$AL,0))</f>
        <v>500</v>
      </c>
      <c r="G46">
        <f>INDEX(Data!Z:Z,MATCH($P46,Data!$AL:$AL,0))</f>
        <v>48</v>
      </c>
      <c r="H46">
        <f>INDEX(Data!AA:AA,MATCH($P46,Data!$AL:$AL,0))</f>
        <v>1000</v>
      </c>
      <c r="I46" t="str">
        <f>INDEX(Data!AB:AB,MATCH($P46,Data!$AL:$AL,0))</f>
        <v>[0.2, 0.1, 0.1, 0.1, 0.1, 0.1, 0.1, 0.1, 0.1]</v>
      </c>
      <c r="J46" t="str">
        <f>INDEX(Data!V:V,MATCH($P46,Data!$AL:$AL,0))</f>
        <v>Adam</v>
      </c>
      <c r="K46" t="str">
        <f>INDEX(Data!W:W,MATCH($P46,Data!$AL:$AL,0))</f>
        <v>cross_entropy</v>
      </c>
      <c r="L46" t="str">
        <f>INDEX(Data!X:X,MATCH($P46,Data!$AL:$AL,0))</f>
        <v>uniform</v>
      </c>
      <c r="M46" t="b">
        <f>INDEX(Data!AD:AD,MATCH($P46,Data!$AL:$AL,0))</f>
        <v>1</v>
      </c>
      <c r="N46" t="b">
        <f>INDEX(Data!AF:AF,MATCH($P46,Data!$AL:$AL,0))</f>
        <v>1</v>
      </c>
      <c r="O46">
        <f>INDEX(Data!Q:Q,MATCH($P46,Data!$AL:$AL,0))</f>
        <v>10</v>
      </c>
      <c r="P46" t="s">
        <v>56</v>
      </c>
      <c r="Q46" s="3" t="str">
        <f t="shared" si="0"/>
        <v>ACL2024-01-19 08-39-35</v>
      </c>
    </row>
    <row r="47" spans="1:17" x14ac:dyDescent="0.25">
      <c r="A47" s="3">
        <v>46</v>
      </c>
      <c r="B47" s="216" t="s">
        <v>43</v>
      </c>
      <c r="C47" s="11">
        <f>INDEX(Data!M:M,MATCH(Q47,Data!AM:AM,0))</f>
        <v>88.125</v>
      </c>
      <c r="D47" s="44">
        <f>INDEX(Data!O:O,MATCH(Q47,Data!AM:AM,0))</f>
        <v>78.679999999999893</v>
      </c>
      <c r="E47">
        <f>INDEX(Data!T:T,MATCH($P47,Data!$AL:$AL,0))</f>
        <v>8</v>
      </c>
      <c r="F47">
        <f>INDEX(Data!P:P,MATCH($P47,Data!$AL:$AL,0))</f>
        <v>500</v>
      </c>
      <c r="G47">
        <f>INDEX(Data!Z:Z,MATCH($P47,Data!$AL:$AL,0))</f>
        <v>48</v>
      </c>
      <c r="H47">
        <f>INDEX(Data!AA:AA,MATCH($P47,Data!$AL:$AL,0))</f>
        <v>1000</v>
      </c>
      <c r="I47" t="str">
        <f>INDEX(Data!AB:AB,MATCH($P47,Data!$AL:$AL,0))</f>
        <v>[0.2, 0.1, 0.1, 0.1, 0.1, 0.1, 0.1, 0.1, 0.1]</v>
      </c>
      <c r="J47" t="str">
        <f>INDEX(Data!V:V,MATCH($P47,Data!$AL:$AL,0))</f>
        <v>Adam</v>
      </c>
      <c r="K47" t="str">
        <f>INDEX(Data!W:W,MATCH($P47,Data!$AL:$AL,0))</f>
        <v>cross_entropy</v>
      </c>
      <c r="L47" t="str">
        <f>INDEX(Data!X:X,MATCH($P47,Data!$AL:$AL,0))</f>
        <v>uniform</v>
      </c>
      <c r="M47" t="b">
        <f>INDEX(Data!AD:AD,MATCH($P47,Data!$AL:$AL,0))</f>
        <v>1</v>
      </c>
      <c r="N47" t="b">
        <f>INDEX(Data!AF:AF,MATCH($P47,Data!$AL:$AL,0))</f>
        <v>1</v>
      </c>
      <c r="O47">
        <f>INDEX(Data!Q:Q,MATCH($P47,Data!$AL:$AL,0))</f>
        <v>10</v>
      </c>
      <c r="P47" t="s">
        <v>56</v>
      </c>
      <c r="Q47" s="3" t="str">
        <f t="shared" si="0"/>
        <v>SPCL2024-01-19 08-39-35</v>
      </c>
    </row>
    <row r="48" spans="1:17" x14ac:dyDescent="0.25">
      <c r="A48" s="4">
        <v>47</v>
      </c>
      <c r="B48" s="217" t="s">
        <v>44</v>
      </c>
      <c r="C48" s="45">
        <f>INDEX(Data!M:M,MATCH(Q48,Data!AM:AM,0))</f>
        <v>89.999999999999901</v>
      </c>
      <c r="D48" s="12">
        <f>INDEX(Data!O:O,MATCH(Q48,Data!AM:AM,0))</f>
        <v>83.35</v>
      </c>
      <c r="E48" s="1">
        <f>INDEX(Data!T:T,MATCH($P48,Data!$AL:$AL,0))</f>
        <v>8</v>
      </c>
      <c r="F48" s="1">
        <f>INDEX(Data!P:P,MATCH($P48,Data!$AL:$AL,0))</f>
        <v>500</v>
      </c>
      <c r="G48" s="1">
        <f>INDEX(Data!Z:Z,MATCH($P48,Data!$AL:$AL,0))</f>
        <v>48</v>
      </c>
      <c r="H48" s="1">
        <f>INDEX(Data!AA:AA,MATCH($P48,Data!$AL:$AL,0))</f>
        <v>1000</v>
      </c>
      <c r="I48" s="1" t="str">
        <f>INDEX(Data!AB:AB,MATCH($P48,Data!$AL:$AL,0))</f>
        <v>[0.2, 0.1, 0.1, 0.1, 0.1, 0.1, 0.1, 0.1, 0.1]</v>
      </c>
      <c r="J48" s="1" t="str">
        <f>INDEX(Data!V:V,MATCH($P48,Data!$AL:$AL,0))</f>
        <v>Adam</v>
      </c>
      <c r="K48" s="1" t="str">
        <f>INDEX(Data!W:W,MATCH($P48,Data!$AL:$AL,0))</f>
        <v>cross_entropy</v>
      </c>
      <c r="L48" s="1" t="str">
        <f>INDEX(Data!X:X,MATCH($P48,Data!$AL:$AL,0))</f>
        <v>uniform</v>
      </c>
      <c r="M48" s="1" t="b">
        <f>INDEX(Data!AD:AD,MATCH($P48,Data!$AL:$AL,0))</f>
        <v>1</v>
      </c>
      <c r="N48" s="1" t="b">
        <f>INDEX(Data!AF:AF,MATCH($P48,Data!$AL:$AL,0))</f>
        <v>1</v>
      </c>
      <c r="O48" s="1">
        <f>INDEX(Data!Q:Q,MATCH($P48,Data!$AL:$AL,0))</f>
        <v>10</v>
      </c>
      <c r="P48" s="1" t="s">
        <v>56</v>
      </c>
      <c r="Q48" s="4" t="str">
        <f t="shared" si="0"/>
        <v>SPACL2024-01-19 08-39-35</v>
      </c>
    </row>
    <row r="49" spans="1:18" x14ac:dyDescent="0.25">
      <c r="A49" s="3">
        <v>48</v>
      </c>
      <c r="B49" s="218" t="s">
        <v>40</v>
      </c>
      <c r="C49" s="13">
        <f>INDEX(Data!M:M,MATCH(Q49,Data!AM:AM,0))</f>
        <v>88.3333333333333</v>
      </c>
      <c r="D49" s="46">
        <f>INDEX(Data!O:O,MATCH(Q49,Data!AM:AM,0))</f>
        <v>80.760000000000005</v>
      </c>
      <c r="E49" s="2">
        <f>INDEX(Data!T:T,MATCH($P49,Data!$AL:$AL,0))</f>
        <v>8</v>
      </c>
      <c r="F49" s="2">
        <f>INDEX(Data!P:P,MATCH($P49,Data!$AL:$AL,0))</f>
        <v>500</v>
      </c>
      <c r="G49" s="2">
        <f>INDEX(Data!Z:Z,MATCH($P49,Data!$AL:$AL,0))</f>
        <v>48</v>
      </c>
      <c r="H49" s="2">
        <f>INDEX(Data!AA:AA,MATCH($P49,Data!$AL:$AL,0))</f>
        <v>1000</v>
      </c>
      <c r="I49" s="2" t="str">
        <f>INDEX(Data!AB:AB,MATCH($P49,Data!$AL:$AL,0))</f>
        <v>[0.2, 0.1, 0.1, 0.1, 0.1, 0.1, 0.1, 0.1, 0.1]</v>
      </c>
      <c r="J49" s="2" t="str">
        <f>INDEX(Data!V:V,MATCH($P49,Data!$AL:$AL,0))</f>
        <v>Adam</v>
      </c>
      <c r="K49" s="2" t="str">
        <f>INDEX(Data!W:W,MATCH($P49,Data!$AL:$AL,0))</f>
        <v>cross_entropy</v>
      </c>
      <c r="L49" s="2" t="str">
        <f>INDEX(Data!X:X,MATCH($P49,Data!$AL:$AL,0))</f>
        <v>uniform</v>
      </c>
      <c r="M49" s="2" t="b">
        <f>INDEX(Data!AD:AD,MATCH($P49,Data!$AL:$AL,0))</f>
        <v>0</v>
      </c>
      <c r="N49" s="2" t="b">
        <f>INDEX(Data!AF:AF,MATCH($P49,Data!$AL:$AL,0))</f>
        <v>1</v>
      </c>
      <c r="O49" s="2">
        <f>INDEX(Data!Q:Q,MATCH($P49,Data!$AL:$AL,0))</f>
        <v>10</v>
      </c>
      <c r="P49" t="s">
        <v>57</v>
      </c>
      <c r="Q49" s="3" t="str">
        <f t="shared" si="0"/>
        <v>NCL2024-01-19 09-17-15</v>
      </c>
    </row>
    <row r="50" spans="1:18" x14ac:dyDescent="0.25">
      <c r="A50" s="3">
        <v>49</v>
      </c>
      <c r="B50" s="216" t="s">
        <v>41</v>
      </c>
      <c r="C50" s="47">
        <f>INDEX(Data!M:M,MATCH(Q50,Data!AM:AM,0))</f>
        <v>88.125</v>
      </c>
      <c r="D50" s="10">
        <f>INDEX(Data!O:O,MATCH(Q50,Data!AM:AM,0))</f>
        <v>81.73</v>
      </c>
      <c r="E50">
        <f>INDEX(Data!T:T,MATCH($P50,Data!$AL:$AL,0))</f>
        <v>8</v>
      </c>
      <c r="F50">
        <f>INDEX(Data!P:P,MATCH($P50,Data!$AL:$AL,0))</f>
        <v>500</v>
      </c>
      <c r="G50">
        <f>INDEX(Data!Z:Z,MATCH($P50,Data!$AL:$AL,0))</f>
        <v>48</v>
      </c>
      <c r="H50">
        <f>INDEX(Data!AA:AA,MATCH($P50,Data!$AL:$AL,0))</f>
        <v>1000</v>
      </c>
      <c r="I50" t="str">
        <f>INDEX(Data!AB:AB,MATCH($P50,Data!$AL:$AL,0))</f>
        <v>[0.2, 0.1, 0.1, 0.1, 0.1, 0.1, 0.1, 0.1, 0.1]</v>
      </c>
      <c r="J50" t="str">
        <f>INDEX(Data!V:V,MATCH($P50,Data!$AL:$AL,0))</f>
        <v>Adam</v>
      </c>
      <c r="K50" t="str">
        <f>INDEX(Data!W:W,MATCH($P50,Data!$AL:$AL,0))</f>
        <v>cross_entropy</v>
      </c>
      <c r="L50" t="str">
        <f>INDEX(Data!X:X,MATCH($P50,Data!$AL:$AL,0))</f>
        <v>uniform</v>
      </c>
      <c r="M50" t="b">
        <f>INDEX(Data!AD:AD,MATCH($P50,Data!$AL:$AL,0))</f>
        <v>0</v>
      </c>
      <c r="N50" t="b">
        <f>INDEX(Data!AF:AF,MATCH($P50,Data!$AL:$AL,0))</f>
        <v>1</v>
      </c>
      <c r="O50">
        <f>INDEX(Data!Q:Q,MATCH($P50,Data!$AL:$AL,0))</f>
        <v>10</v>
      </c>
      <c r="P50" t="s">
        <v>57</v>
      </c>
      <c r="Q50" s="3" t="str">
        <f t="shared" si="0"/>
        <v>CL2024-01-19 09-17-15</v>
      </c>
    </row>
    <row r="51" spans="1:18" x14ac:dyDescent="0.25">
      <c r="A51" s="3">
        <v>50</v>
      </c>
      <c r="B51" s="216" t="s">
        <v>42</v>
      </c>
      <c r="C51" s="15">
        <f>INDEX(Data!M:M,MATCH(Q51,Data!AM:AM,0))</f>
        <v>92.2916666666666</v>
      </c>
      <c r="D51" s="15">
        <f>INDEX(Data!O:O,MATCH(Q51,Data!AM:AM,0))</f>
        <v>85.69</v>
      </c>
      <c r="E51">
        <f>INDEX(Data!T:T,MATCH($P51,Data!$AL:$AL,0))</f>
        <v>8</v>
      </c>
      <c r="F51">
        <f>INDEX(Data!P:P,MATCH($P51,Data!$AL:$AL,0))</f>
        <v>500</v>
      </c>
      <c r="G51">
        <f>INDEX(Data!Z:Z,MATCH($P51,Data!$AL:$AL,0))</f>
        <v>48</v>
      </c>
      <c r="H51">
        <f>INDEX(Data!AA:AA,MATCH($P51,Data!$AL:$AL,0))</f>
        <v>1000</v>
      </c>
      <c r="I51" t="str">
        <f>INDEX(Data!AB:AB,MATCH($P51,Data!$AL:$AL,0))</f>
        <v>[0.2, 0.1, 0.1, 0.1, 0.1, 0.1, 0.1, 0.1, 0.1]</v>
      </c>
      <c r="J51" t="str">
        <f>INDEX(Data!V:V,MATCH($P51,Data!$AL:$AL,0))</f>
        <v>Adam</v>
      </c>
      <c r="K51" t="str">
        <f>INDEX(Data!W:W,MATCH($P51,Data!$AL:$AL,0))</f>
        <v>cross_entropy</v>
      </c>
      <c r="L51" t="str">
        <f>INDEX(Data!X:X,MATCH($P51,Data!$AL:$AL,0))</f>
        <v>uniform</v>
      </c>
      <c r="M51" t="b">
        <f>INDEX(Data!AD:AD,MATCH($P51,Data!$AL:$AL,0))</f>
        <v>0</v>
      </c>
      <c r="N51" t="b">
        <f>INDEX(Data!AF:AF,MATCH($P51,Data!$AL:$AL,0))</f>
        <v>1</v>
      </c>
      <c r="O51">
        <f>INDEX(Data!Q:Q,MATCH($P51,Data!$AL:$AL,0))</f>
        <v>10</v>
      </c>
      <c r="P51" t="s">
        <v>57</v>
      </c>
      <c r="Q51" s="3" t="str">
        <f t="shared" si="0"/>
        <v>ACL2024-01-19 09-17-15</v>
      </c>
    </row>
    <row r="52" spans="1:18" x14ac:dyDescent="0.25">
      <c r="A52" s="3">
        <v>51</v>
      </c>
      <c r="B52" s="216" t="s">
        <v>43</v>
      </c>
      <c r="C52" s="11">
        <f>INDEX(Data!M:M,MATCH(Q52,Data!AM:AM,0))</f>
        <v>85.2083333333333</v>
      </c>
      <c r="D52" s="48">
        <f>INDEX(Data!O:O,MATCH(Q52,Data!AM:AM,0))</f>
        <v>81.03</v>
      </c>
      <c r="E52">
        <f>INDEX(Data!T:T,MATCH($P52,Data!$AL:$AL,0))</f>
        <v>8</v>
      </c>
      <c r="F52">
        <f>INDEX(Data!P:P,MATCH($P52,Data!$AL:$AL,0))</f>
        <v>500</v>
      </c>
      <c r="G52">
        <f>INDEX(Data!Z:Z,MATCH($P52,Data!$AL:$AL,0))</f>
        <v>48</v>
      </c>
      <c r="H52">
        <f>INDEX(Data!AA:AA,MATCH($P52,Data!$AL:$AL,0))</f>
        <v>1000</v>
      </c>
      <c r="I52" t="str">
        <f>INDEX(Data!AB:AB,MATCH($P52,Data!$AL:$AL,0))</f>
        <v>[0.2, 0.1, 0.1, 0.1, 0.1, 0.1, 0.1, 0.1, 0.1]</v>
      </c>
      <c r="J52" t="str">
        <f>INDEX(Data!V:V,MATCH($P52,Data!$AL:$AL,0))</f>
        <v>Adam</v>
      </c>
      <c r="K52" t="str">
        <f>INDEX(Data!W:W,MATCH($P52,Data!$AL:$AL,0))</f>
        <v>cross_entropy</v>
      </c>
      <c r="L52" t="str">
        <f>INDEX(Data!X:X,MATCH($P52,Data!$AL:$AL,0))</f>
        <v>uniform</v>
      </c>
      <c r="M52" t="b">
        <f>INDEX(Data!AD:AD,MATCH($P52,Data!$AL:$AL,0))</f>
        <v>0</v>
      </c>
      <c r="N52" t="b">
        <f>INDEX(Data!AF:AF,MATCH($P52,Data!$AL:$AL,0))</f>
        <v>1</v>
      </c>
      <c r="O52">
        <f>INDEX(Data!Q:Q,MATCH($P52,Data!$AL:$AL,0))</f>
        <v>10</v>
      </c>
      <c r="P52" t="s">
        <v>57</v>
      </c>
      <c r="Q52" s="3" t="str">
        <f t="shared" si="0"/>
        <v>SPCL2024-01-19 09-17-15</v>
      </c>
    </row>
    <row r="53" spans="1:18" x14ac:dyDescent="0.25">
      <c r="A53" s="4">
        <v>52</v>
      </c>
      <c r="B53" s="217" t="s">
        <v>44</v>
      </c>
      <c r="C53" s="49">
        <f>INDEX(Data!M:M,MATCH(Q53,Data!AM:AM,0))</f>
        <v>88.9583333333333</v>
      </c>
      <c r="D53" s="50">
        <f>INDEX(Data!O:O,MATCH(Q53,Data!AM:AM,0))</f>
        <v>83.09</v>
      </c>
      <c r="E53" s="1">
        <f>INDEX(Data!T:T,MATCH($P53,Data!$AL:$AL,0))</f>
        <v>8</v>
      </c>
      <c r="F53" s="1">
        <f>INDEX(Data!P:P,MATCH($P53,Data!$AL:$AL,0))</f>
        <v>500</v>
      </c>
      <c r="G53" s="1">
        <f>INDEX(Data!Z:Z,MATCH($P53,Data!$AL:$AL,0))</f>
        <v>48</v>
      </c>
      <c r="H53" s="1">
        <f>INDEX(Data!AA:AA,MATCH($P53,Data!$AL:$AL,0))</f>
        <v>1000</v>
      </c>
      <c r="I53" s="1" t="str">
        <f>INDEX(Data!AB:AB,MATCH($P53,Data!$AL:$AL,0))</f>
        <v>[0.2, 0.1, 0.1, 0.1, 0.1, 0.1, 0.1, 0.1, 0.1]</v>
      </c>
      <c r="J53" s="1" t="str">
        <f>INDEX(Data!V:V,MATCH($P53,Data!$AL:$AL,0))</f>
        <v>Adam</v>
      </c>
      <c r="K53" s="1" t="str">
        <f>INDEX(Data!W:W,MATCH($P53,Data!$AL:$AL,0))</f>
        <v>cross_entropy</v>
      </c>
      <c r="L53" s="1" t="str">
        <f>INDEX(Data!X:X,MATCH($P53,Data!$AL:$AL,0))</f>
        <v>uniform</v>
      </c>
      <c r="M53" s="1" t="b">
        <f>INDEX(Data!AD:AD,MATCH($P53,Data!$AL:$AL,0))</f>
        <v>0</v>
      </c>
      <c r="N53" s="1" t="b">
        <f>INDEX(Data!AF:AF,MATCH($P53,Data!$AL:$AL,0))</f>
        <v>1</v>
      </c>
      <c r="O53" s="1">
        <f>INDEX(Data!Q:Q,MATCH($P53,Data!$AL:$AL,0))</f>
        <v>10</v>
      </c>
      <c r="P53" s="1" t="s">
        <v>57</v>
      </c>
      <c r="Q53" s="4" t="str">
        <f t="shared" si="0"/>
        <v>SPACL2024-01-19 09-17-15</v>
      </c>
    </row>
    <row r="54" spans="1:18" x14ac:dyDescent="0.25">
      <c r="A54" s="3">
        <v>53</v>
      </c>
      <c r="B54" s="218" t="s">
        <v>40</v>
      </c>
      <c r="C54" s="19">
        <f>INDEX(Data!M:M,MATCH(Q54,Data!AM:AM,0))</f>
        <v>90</v>
      </c>
      <c r="D54" s="51">
        <f>INDEX(Data!O:O,MATCH(Q54,Data!AM:AM,0))</f>
        <v>88.74</v>
      </c>
      <c r="E54" s="2">
        <f>INDEX(Data!T:T,MATCH($P54,Data!$AL:$AL,0))</f>
        <v>8</v>
      </c>
      <c r="F54" s="2">
        <f>INDEX(Data!P:P,MATCH($P54,Data!$AL:$AL,0))</f>
        <v>500</v>
      </c>
      <c r="G54" s="2">
        <f>INDEX(Data!Z:Z,MATCH($P54,Data!$AL:$AL,0))</f>
        <v>48</v>
      </c>
      <c r="H54" s="2">
        <f>INDEX(Data!AA:AA,MATCH($P54,Data!$AL:$AL,0))</f>
        <v>1000</v>
      </c>
      <c r="I54" s="2" t="str">
        <f>INDEX(Data!AB:AB,MATCH($P54,Data!$AL:$AL,0))</f>
        <v>[0.3, 0.2, 0.2, 0.2, 0.1]</v>
      </c>
      <c r="J54" s="2" t="str">
        <f>INDEX(Data!V:V,MATCH($P54,Data!$AL:$AL,0))</f>
        <v>Adam</v>
      </c>
      <c r="K54" s="2" t="str">
        <f>INDEX(Data!W:W,MATCH($P54,Data!$AL:$AL,0))</f>
        <v>cross_entropy</v>
      </c>
      <c r="L54" s="2" t="str">
        <f>INDEX(Data!X:X,MATCH($P54,Data!$AL:$AL,0))</f>
        <v>uniform</v>
      </c>
      <c r="M54" s="2" t="b">
        <f>INDEX(Data!AD:AD,MATCH($P54,Data!$AL:$AL,0))</f>
        <v>1</v>
      </c>
      <c r="N54" s="2" t="b">
        <f>INDEX(Data!AF:AF,MATCH($P54,Data!$AL:$AL,0))</f>
        <v>1</v>
      </c>
      <c r="O54" s="2">
        <f>INDEX(Data!Q:Q,MATCH($P54,Data!$AL:$AL,0))</f>
        <v>10</v>
      </c>
      <c r="P54" t="s">
        <v>58</v>
      </c>
      <c r="Q54" s="3" t="str">
        <f t="shared" si="0"/>
        <v>NCL2024-01-19 09-52-11</v>
      </c>
    </row>
    <row r="55" spans="1:18" x14ac:dyDescent="0.25">
      <c r="A55" s="3">
        <v>54</v>
      </c>
      <c r="B55" s="216" t="s">
        <v>41</v>
      </c>
      <c r="C55" s="11">
        <f>INDEX(Data!M:M,MATCH(Q55,Data!AM:AM,0))</f>
        <v>85.208333330000002</v>
      </c>
      <c r="D55" s="52">
        <f>INDEX(Data!O:O,MATCH(Q55,Data!AM:AM,0))</f>
        <v>82.86</v>
      </c>
      <c r="E55">
        <f>INDEX(Data!T:T,MATCH($P55,Data!$AL:$AL,0))</f>
        <v>8</v>
      </c>
      <c r="F55">
        <f>INDEX(Data!P:P,MATCH($P55,Data!$AL:$AL,0))</f>
        <v>500</v>
      </c>
      <c r="G55">
        <f>INDEX(Data!Z:Z,MATCH($P55,Data!$AL:$AL,0))</f>
        <v>48</v>
      </c>
      <c r="H55">
        <f>INDEX(Data!AA:AA,MATCH($P55,Data!$AL:$AL,0))</f>
        <v>1000</v>
      </c>
      <c r="I55" t="str">
        <f>INDEX(Data!AB:AB,MATCH($P55,Data!$AL:$AL,0))</f>
        <v>[0.3, 0.2, 0.2, 0.2, 0.1]</v>
      </c>
      <c r="J55" t="str">
        <f>INDEX(Data!V:V,MATCH($P55,Data!$AL:$AL,0))</f>
        <v>Adam</v>
      </c>
      <c r="K55" t="str">
        <f>INDEX(Data!W:W,MATCH($P55,Data!$AL:$AL,0))</f>
        <v>cross_entropy</v>
      </c>
      <c r="L55" t="str">
        <f>INDEX(Data!X:X,MATCH($P55,Data!$AL:$AL,0))</f>
        <v>uniform</v>
      </c>
      <c r="M55" t="b">
        <f>INDEX(Data!AD:AD,MATCH($P55,Data!$AL:$AL,0))</f>
        <v>1</v>
      </c>
      <c r="N55" t="b">
        <f>INDEX(Data!AF:AF,MATCH($P55,Data!$AL:$AL,0))</f>
        <v>1</v>
      </c>
      <c r="O55">
        <f>INDEX(Data!Q:Q,MATCH($P55,Data!$AL:$AL,0))</f>
        <v>10</v>
      </c>
      <c r="P55" t="s">
        <v>58</v>
      </c>
      <c r="Q55" s="3" t="str">
        <f t="shared" si="0"/>
        <v>CL2024-01-19 09-52-11</v>
      </c>
    </row>
    <row r="56" spans="1:18" x14ac:dyDescent="0.25">
      <c r="A56" s="3">
        <v>55</v>
      </c>
      <c r="B56" s="216" t="s">
        <v>42</v>
      </c>
      <c r="C56" s="10">
        <f>INDEX(Data!M:M,MATCH(Q56,Data!AM:AM,0))</f>
        <v>89.375</v>
      </c>
      <c r="D56" s="10">
        <f>INDEX(Data!O:O,MATCH(Q56,Data!AM:AM,0))</f>
        <v>88.18</v>
      </c>
      <c r="E56">
        <f>INDEX(Data!T:T,MATCH($P56,Data!$AL:$AL,0))</f>
        <v>8</v>
      </c>
      <c r="F56">
        <f>INDEX(Data!P:P,MATCH($P56,Data!$AL:$AL,0))</f>
        <v>500</v>
      </c>
      <c r="G56">
        <f>INDEX(Data!Z:Z,MATCH($P56,Data!$AL:$AL,0))</f>
        <v>48</v>
      </c>
      <c r="H56">
        <f>INDEX(Data!AA:AA,MATCH($P56,Data!$AL:$AL,0))</f>
        <v>1000</v>
      </c>
      <c r="I56" t="str">
        <f>INDEX(Data!AB:AB,MATCH($P56,Data!$AL:$AL,0))</f>
        <v>[0.3, 0.2, 0.2, 0.2, 0.1]</v>
      </c>
      <c r="J56" t="str">
        <f>INDEX(Data!V:V,MATCH($P56,Data!$AL:$AL,0))</f>
        <v>Adam</v>
      </c>
      <c r="K56" t="str">
        <f>INDEX(Data!W:W,MATCH($P56,Data!$AL:$AL,0))</f>
        <v>cross_entropy</v>
      </c>
      <c r="L56" t="str">
        <f>INDEX(Data!X:X,MATCH($P56,Data!$AL:$AL,0))</f>
        <v>uniform</v>
      </c>
      <c r="M56" t="b">
        <f>INDEX(Data!AD:AD,MATCH($P56,Data!$AL:$AL,0))</f>
        <v>1</v>
      </c>
      <c r="N56" t="b">
        <f>INDEX(Data!AF:AF,MATCH($P56,Data!$AL:$AL,0))</f>
        <v>1</v>
      </c>
      <c r="O56">
        <f>INDEX(Data!Q:Q,MATCH($P56,Data!$AL:$AL,0))</f>
        <v>10</v>
      </c>
      <c r="P56" t="s">
        <v>58</v>
      </c>
      <c r="Q56" s="3" t="str">
        <f t="shared" si="0"/>
        <v>ACL2024-01-19 09-52-11</v>
      </c>
    </row>
    <row r="57" spans="1:18" x14ac:dyDescent="0.25">
      <c r="A57" s="3">
        <v>56</v>
      </c>
      <c r="B57" s="216" t="s">
        <v>43</v>
      </c>
      <c r="C57" s="53">
        <f>INDEX(Data!M:M,MATCH(Q57,Data!AM:AM,0))</f>
        <v>86.666666669999998</v>
      </c>
      <c r="D57" s="11">
        <f>INDEX(Data!O:O,MATCH(Q57,Data!AM:AM,0))</f>
        <v>82.14</v>
      </c>
      <c r="E57">
        <f>INDEX(Data!T:T,MATCH($P57,Data!$AL:$AL,0))</f>
        <v>8</v>
      </c>
      <c r="F57">
        <f>INDEX(Data!P:P,MATCH($P57,Data!$AL:$AL,0))</f>
        <v>500</v>
      </c>
      <c r="G57">
        <f>INDEX(Data!Z:Z,MATCH($P57,Data!$AL:$AL,0))</f>
        <v>48</v>
      </c>
      <c r="H57">
        <f>INDEX(Data!AA:AA,MATCH($P57,Data!$AL:$AL,0))</f>
        <v>1000</v>
      </c>
      <c r="I57" t="str">
        <f>INDEX(Data!AB:AB,MATCH($P57,Data!$AL:$AL,0))</f>
        <v>[0.3, 0.2, 0.2, 0.2, 0.1]</v>
      </c>
      <c r="J57" t="str">
        <f>INDEX(Data!V:V,MATCH($P57,Data!$AL:$AL,0))</f>
        <v>Adam</v>
      </c>
      <c r="K57" t="str">
        <f>INDEX(Data!W:W,MATCH($P57,Data!$AL:$AL,0))</f>
        <v>cross_entropy</v>
      </c>
      <c r="L57" t="str">
        <f>INDEX(Data!X:X,MATCH($P57,Data!$AL:$AL,0))</f>
        <v>uniform</v>
      </c>
      <c r="M57" t="b">
        <f>INDEX(Data!AD:AD,MATCH($P57,Data!$AL:$AL,0))</f>
        <v>1</v>
      </c>
      <c r="N57" t="b">
        <f>INDEX(Data!AF:AF,MATCH($P57,Data!$AL:$AL,0))</f>
        <v>1</v>
      </c>
      <c r="O57">
        <f>INDEX(Data!Q:Q,MATCH($P57,Data!$AL:$AL,0))</f>
        <v>10</v>
      </c>
      <c r="P57" t="s">
        <v>58</v>
      </c>
      <c r="Q57" s="3" t="str">
        <f t="shared" si="0"/>
        <v>SPCL2024-01-19 09-52-11</v>
      </c>
    </row>
    <row r="58" spans="1:18" x14ac:dyDescent="0.25">
      <c r="A58" s="4">
        <v>57</v>
      </c>
      <c r="B58" s="217" t="s">
        <v>44</v>
      </c>
      <c r="C58" s="12">
        <f>INDEX(Data!M:M,MATCH(Q58,Data!AM:AM,0))</f>
        <v>90</v>
      </c>
      <c r="D58" s="12">
        <f>INDEX(Data!O:O,MATCH(Q58,Data!AM:AM,0))</f>
        <v>89.76</v>
      </c>
      <c r="E58" s="1">
        <f>INDEX(Data!T:T,MATCH($P58,Data!$AL:$AL,0))</f>
        <v>8</v>
      </c>
      <c r="F58" s="1">
        <f>INDEX(Data!P:P,MATCH($P58,Data!$AL:$AL,0))</f>
        <v>500</v>
      </c>
      <c r="G58" s="1">
        <f>INDEX(Data!Z:Z,MATCH($P58,Data!$AL:$AL,0))</f>
        <v>48</v>
      </c>
      <c r="H58" s="1">
        <f>INDEX(Data!AA:AA,MATCH($P58,Data!$AL:$AL,0))</f>
        <v>1000</v>
      </c>
      <c r="I58" s="1" t="str">
        <f>INDEX(Data!AB:AB,MATCH($P58,Data!$AL:$AL,0))</f>
        <v>[0.3, 0.2, 0.2, 0.2, 0.1]</v>
      </c>
      <c r="J58" s="1" t="str">
        <f>INDEX(Data!V:V,MATCH($P58,Data!$AL:$AL,0))</f>
        <v>Adam</v>
      </c>
      <c r="K58" s="1" t="str">
        <f>INDEX(Data!W:W,MATCH($P58,Data!$AL:$AL,0))</f>
        <v>cross_entropy</v>
      </c>
      <c r="L58" s="1" t="str">
        <f>INDEX(Data!X:X,MATCH($P58,Data!$AL:$AL,0))</f>
        <v>uniform</v>
      </c>
      <c r="M58" s="1" t="b">
        <f>INDEX(Data!AD:AD,MATCH($P58,Data!$AL:$AL,0))</f>
        <v>1</v>
      </c>
      <c r="N58" s="1" t="b">
        <f>INDEX(Data!AF:AF,MATCH($P58,Data!$AL:$AL,0))</f>
        <v>1</v>
      </c>
      <c r="O58" s="1">
        <f>INDEX(Data!Q:Q,MATCH($P58,Data!$AL:$AL,0))</f>
        <v>10</v>
      </c>
      <c r="P58" s="1" t="s">
        <v>58</v>
      </c>
      <c r="Q58" s="4" t="str">
        <f t="shared" si="0"/>
        <v>SPACL2024-01-19 09-52-11</v>
      </c>
    </row>
    <row r="59" spans="1:18" x14ac:dyDescent="0.25">
      <c r="A59" s="3">
        <v>58</v>
      </c>
      <c r="B59" s="218" t="s">
        <v>40</v>
      </c>
      <c r="C59" s="54">
        <f>INDEX(Data!M:M,MATCH(Q59,Data!AM:AM,0))</f>
        <v>85.625</v>
      </c>
      <c r="D59" s="37">
        <f>INDEX(Data!O:O,MATCH(Q59,Data!AM:AM,0))</f>
        <v>84.16</v>
      </c>
      <c r="E59" s="2">
        <f>INDEX(Data!T:T,MATCH($P59,Data!$AL:$AL,0))</f>
        <v>8</v>
      </c>
      <c r="F59" s="2">
        <f>INDEX(Data!P:P,MATCH($P59,Data!$AL:$AL,0))</f>
        <v>500</v>
      </c>
      <c r="G59" s="2">
        <f>INDEX(Data!Z:Z,MATCH($P59,Data!$AL:$AL,0))</f>
        <v>48</v>
      </c>
      <c r="H59" s="2">
        <f>INDEX(Data!AA:AA,MATCH($P59,Data!$AL:$AL,0))</f>
        <v>1000</v>
      </c>
      <c r="I59" s="2" t="str">
        <f>INDEX(Data!AB:AB,MATCH($P59,Data!$AL:$AL,0))</f>
        <v>[0.3, 0.2, 0.2, 0.2, 0.1]</v>
      </c>
      <c r="J59" s="2" t="str">
        <f>INDEX(Data!V:V,MATCH($P59,Data!$AL:$AL,0))</f>
        <v>Adam</v>
      </c>
      <c r="K59" s="2" t="str">
        <f>INDEX(Data!W:W,MATCH($P59,Data!$AL:$AL,0))</f>
        <v>cross_entropy</v>
      </c>
      <c r="L59" s="2" t="str">
        <f>INDEX(Data!X:X,MATCH($P59,Data!$AL:$AL,0))</f>
        <v>uniform</v>
      </c>
      <c r="M59" s="2" t="b">
        <f>INDEX(Data!AD:AD,MATCH($P59,Data!$AL:$AL,0))</f>
        <v>0</v>
      </c>
      <c r="N59" s="2" t="b">
        <f>INDEX(Data!AF:AF,MATCH($P59,Data!$AL:$AL,0))</f>
        <v>1</v>
      </c>
      <c r="O59" s="2">
        <f>INDEX(Data!Q:Q,MATCH($P59,Data!$AL:$AL,0))</f>
        <v>10</v>
      </c>
      <c r="P59" t="s">
        <v>59</v>
      </c>
      <c r="Q59" s="3" t="str">
        <f t="shared" si="0"/>
        <v>NCL2024-01-19 10-28-33</v>
      </c>
    </row>
    <row r="60" spans="1:18" x14ac:dyDescent="0.25">
      <c r="A60" s="3">
        <v>59</v>
      </c>
      <c r="B60" s="216" t="s">
        <v>41</v>
      </c>
      <c r="C60" s="11">
        <f>INDEX(Data!M:M,MATCH(Q60,Data!AM:AM,0))</f>
        <v>82.0833333333333</v>
      </c>
      <c r="D60" s="55">
        <f>INDEX(Data!O:O,MATCH(Q60,Data!AM:AM,0))</f>
        <v>80.97</v>
      </c>
      <c r="E60">
        <f>INDEX(Data!T:T,MATCH($P60,Data!$AL:$AL,0))</f>
        <v>8</v>
      </c>
      <c r="F60">
        <f>INDEX(Data!P:P,MATCH($P60,Data!$AL:$AL,0))</f>
        <v>500</v>
      </c>
      <c r="G60">
        <f>INDEX(Data!Z:Z,MATCH($P60,Data!$AL:$AL,0))</f>
        <v>48</v>
      </c>
      <c r="H60">
        <f>INDEX(Data!AA:AA,MATCH($P60,Data!$AL:$AL,0))</f>
        <v>1000</v>
      </c>
      <c r="I60" t="str">
        <f>INDEX(Data!AB:AB,MATCH($P60,Data!$AL:$AL,0))</f>
        <v>[0.3, 0.2, 0.2, 0.2, 0.1]</v>
      </c>
      <c r="J60" t="str">
        <f>INDEX(Data!V:V,MATCH($P60,Data!$AL:$AL,0))</f>
        <v>Adam</v>
      </c>
      <c r="K60" t="str">
        <f>INDEX(Data!W:W,MATCH($P60,Data!$AL:$AL,0))</f>
        <v>cross_entropy</v>
      </c>
      <c r="L60" t="str">
        <f>INDEX(Data!X:X,MATCH($P60,Data!$AL:$AL,0))</f>
        <v>uniform</v>
      </c>
      <c r="M60" t="b">
        <f>INDEX(Data!AD:AD,MATCH($P60,Data!$AL:$AL,0))</f>
        <v>0</v>
      </c>
      <c r="N60" t="b">
        <f>INDEX(Data!AF:AF,MATCH($P60,Data!$AL:$AL,0))</f>
        <v>1</v>
      </c>
      <c r="O60">
        <f>INDEX(Data!Q:Q,MATCH($P60,Data!$AL:$AL,0))</f>
        <v>10</v>
      </c>
      <c r="P60" t="s">
        <v>59</v>
      </c>
      <c r="Q60" s="3" t="str">
        <f t="shared" si="0"/>
        <v>CL2024-01-19 10-28-33</v>
      </c>
    </row>
    <row r="61" spans="1:18" x14ac:dyDescent="0.25">
      <c r="A61" s="3">
        <v>60</v>
      </c>
      <c r="B61" s="216" t="s">
        <v>42</v>
      </c>
      <c r="C61" s="15">
        <f>INDEX(Data!M:M,MATCH(Q61,Data!AM:AM,0))</f>
        <v>88.3333333333333</v>
      </c>
      <c r="D61" s="15">
        <f>INDEX(Data!O:O,MATCH(Q61,Data!AM:AM,0))</f>
        <v>85.5</v>
      </c>
      <c r="E61">
        <f>INDEX(Data!T:T,MATCH($P61,Data!$AL:$AL,0))</f>
        <v>8</v>
      </c>
      <c r="F61">
        <f>INDEX(Data!P:P,MATCH($P61,Data!$AL:$AL,0))</f>
        <v>500</v>
      </c>
      <c r="G61">
        <f>INDEX(Data!Z:Z,MATCH($P61,Data!$AL:$AL,0))</f>
        <v>48</v>
      </c>
      <c r="H61">
        <f>INDEX(Data!AA:AA,MATCH($P61,Data!$AL:$AL,0))</f>
        <v>1000</v>
      </c>
      <c r="I61" t="str">
        <f>INDEX(Data!AB:AB,MATCH($P61,Data!$AL:$AL,0))</f>
        <v>[0.3, 0.2, 0.2, 0.2, 0.1]</v>
      </c>
      <c r="J61" t="str">
        <f>INDEX(Data!V:V,MATCH($P61,Data!$AL:$AL,0))</f>
        <v>Adam</v>
      </c>
      <c r="K61" t="str">
        <f>INDEX(Data!W:W,MATCH($P61,Data!$AL:$AL,0))</f>
        <v>cross_entropy</v>
      </c>
      <c r="L61" t="str">
        <f>INDEX(Data!X:X,MATCH($P61,Data!$AL:$AL,0))</f>
        <v>uniform</v>
      </c>
      <c r="M61" t="b">
        <f>INDEX(Data!AD:AD,MATCH($P61,Data!$AL:$AL,0))</f>
        <v>0</v>
      </c>
      <c r="N61" t="b">
        <f>INDEX(Data!AF:AF,MATCH($P61,Data!$AL:$AL,0))</f>
        <v>1</v>
      </c>
      <c r="O61">
        <f>INDEX(Data!Q:Q,MATCH($P61,Data!$AL:$AL,0))</f>
        <v>10</v>
      </c>
      <c r="P61" t="s">
        <v>59</v>
      </c>
      <c r="Q61" s="3" t="str">
        <f t="shared" si="0"/>
        <v>ACL2024-01-19 10-28-33</v>
      </c>
    </row>
    <row r="62" spans="1:18" x14ac:dyDescent="0.25">
      <c r="A62" s="3">
        <v>61</v>
      </c>
      <c r="B62" s="216" t="s">
        <v>43</v>
      </c>
      <c r="C62" s="11">
        <f>INDEX(Data!M:M,MATCH(Q62,Data!AM:AM,0))</f>
        <v>82.0833333333333</v>
      </c>
      <c r="D62" s="11">
        <f>INDEX(Data!O:O,MATCH(Q62,Data!AM:AM,0))</f>
        <v>80.41</v>
      </c>
      <c r="E62">
        <f>INDEX(Data!T:T,MATCH($P62,Data!$AL:$AL,0))</f>
        <v>8</v>
      </c>
      <c r="F62">
        <f>INDEX(Data!P:P,MATCH($P62,Data!$AL:$AL,0))</f>
        <v>500</v>
      </c>
      <c r="G62">
        <f>INDEX(Data!Z:Z,MATCH($P62,Data!$AL:$AL,0))</f>
        <v>48</v>
      </c>
      <c r="H62">
        <f>INDEX(Data!AA:AA,MATCH($P62,Data!$AL:$AL,0))</f>
        <v>1000</v>
      </c>
      <c r="I62" t="str">
        <f>INDEX(Data!AB:AB,MATCH($P62,Data!$AL:$AL,0))</f>
        <v>[0.3, 0.2, 0.2, 0.2, 0.1]</v>
      </c>
      <c r="J62" t="str">
        <f>INDEX(Data!V:V,MATCH($P62,Data!$AL:$AL,0))</f>
        <v>Adam</v>
      </c>
      <c r="K62" t="str">
        <f>INDEX(Data!W:W,MATCH($P62,Data!$AL:$AL,0))</f>
        <v>cross_entropy</v>
      </c>
      <c r="L62" t="str">
        <f>INDEX(Data!X:X,MATCH($P62,Data!$AL:$AL,0))</f>
        <v>uniform</v>
      </c>
      <c r="M62" t="b">
        <f>INDEX(Data!AD:AD,MATCH($P62,Data!$AL:$AL,0))</f>
        <v>0</v>
      </c>
      <c r="N62" t="b">
        <f>INDEX(Data!AF:AF,MATCH($P62,Data!$AL:$AL,0))</f>
        <v>1</v>
      </c>
      <c r="O62">
        <f>INDEX(Data!Q:Q,MATCH($P62,Data!$AL:$AL,0))</f>
        <v>10</v>
      </c>
      <c r="P62" t="s">
        <v>59</v>
      </c>
      <c r="Q62" s="3" t="str">
        <f t="shared" si="0"/>
        <v>SPCL2024-01-19 10-28-33</v>
      </c>
    </row>
    <row r="63" spans="1:18" x14ac:dyDescent="0.25">
      <c r="A63" s="4">
        <v>62</v>
      </c>
      <c r="B63" s="217" t="s">
        <v>44</v>
      </c>
      <c r="C63" s="18">
        <f>INDEX(Data!M:M,MATCH(Q63,Data!AM:AM,0))</f>
        <v>83.9583333333333</v>
      </c>
      <c r="D63" s="18">
        <f>INDEX(Data!O:O,MATCH(Q63,Data!AM:AM,0))</f>
        <v>82.12</v>
      </c>
      <c r="E63" s="1">
        <f>INDEX(Data!T:T,MATCH($P63,Data!$AL:$AL,0))</f>
        <v>8</v>
      </c>
      <c r="F63" s="1">
        <f>INDEX(Data!P:P,MATCH($P63,Data!$AL:$AL,0))</f>
        <v>500</v>
      </c>
      <c r="G63" s="1">
        <f>INDEX(Data!Z:Z,MATCH($P63,Data!$AL:$AL,0))</f>
        <v>48</v>
      </c>
      <c r="H63" s="1">
        <f>INDEX(Data!AA:AA,MATCH($P63,Data!$AL:$AL,0))</f>
        <v>1000</v>
      </c>
      <c r="I63" s="1" t="str">
        <f>INDEX(Data!AB:AB,MATCH($P63,Data!$AL:$AL,0))</f>
        <v>[0.3, 0.2, 0.2, 0.2, 0.1]</v>
      </c>
      <c r="J63" s="1" t="str">
        <f>INDEX(Data!V:V,MATCH($P63,Data!$AL:$AL,0))</f>
        <v>Adam</v>
      </c>
      <c r="K63" s="1" t="str">
        <f>INDEX(Data!W:W,MATCH($P63,Data!$AL:$AL,0))</f>
        <v>cross_entropy</v>
      </c>
      <c r="L63" s="1" t="str">
        <f>INDEX(Data!X:X,MATCH($P63,Data!$AL:$AL,0))</f>
        <v>uniform</v>
      </c>
      <c r="M63" s="1" t="b">
        <f>INDEX(Data!AD:AD,MATCH($P63,Data!$AL:$AL,0))</f>
        <v>0</v>
      </c>
      <c r="N63" s="1" t="b">
        <f>INDEX(Data!AF:AF,MATCH($P63,Data!$AL:$AL,0))</f>
        <v>1</v>
      </c>
      <c r="O63" s="1">
        <f>INDEX(Data!Q:Q,MATCH($P63,Data!$AL:$AL,0))</f>
        <v>10</v>
      </c>
      <c r="P63" s="1" t="s">
        <v>59</v>
      </c>
      <c r="Q63" s="4" t="str">
        <f t="shared" si="0"/>
        <v>SPACL2024-01-19 10-28-33</v>
      </c>
    </row>
    <row r="64" spans="1:18" x14ac:dyDescent="0.25">
      <c r="A64" s="3">
        <v>63</v>
      </c>
      <c r="B64" s="218" t="s">
        <v>40</v>
      </c>
      <c r="C64" s="56">
        <f>INDEX(Data!M:M,MATCH(Q64,Data!AM:AM,0))</f>
        <v>88.749999999999901</v>
      </c>
      <c r="D64" s="13">
        <f>INDEX(Data!O:O,MATCH(Q64,Data!AM:AM,0))</f>
        <v>85.08</v>
      </c>
      <c r="E64" s="2">
        <f>INDEX(Data!T:T,MATCH($P64,Data!$AL:$AL,0))</f>
        <v>8</v>
      </c>
      <c r="F64" s="2">
        <f>INDEX(Data!P:P,MATCH($P64,Data!$AL:$AL,0))</f>
        <v>500</v>
      </c>
      <c r="G64" s="2">
        <f>INDEX(Data!Z:Z,MATCH($P64,Data!$AL:$AL,0))</f>
        <v>48</v>
      </c>
      <c r="H64" s="2">
        <f>INDEX(Data!AA:AA,MATCH($P64,Data!$AL:$AL,0))</f>
        <v>1000</v>
      </c>
      <c r="I64" s="2" t="str">
        <f>INDEX(Data!AB:AB,MATCH($P64,Data!$AL:$AL,0))</f>
        <v>[0.4, 0.3, 0.2, 0.1]</v>
      </c>
      <c r="J64" s="2" t="str">
        <f>INDEX(Data!V:V,MATCH($P64,Data!$AL:$AL,0))</f>
        <v>Adam</v>
      </c>
      <c r="K64" s="2" t="str">
        <f>INDEX(Data!W:W,MATCH($P64,Data!$AL:$AL,0))</f>
        <v>cross_entropy</v>
      </c>
      <c r="L64" s="2" t="str">
        <f>INDEX(Data!X:X,MATCH($P64,Data!$AL:$AL,0))</f>
        <v>gaussian</v>
      </c>
      <c r="M64" s="2" t="b">
        <f>INDEX(Data!AD:AD,MATCH($P64,Data!$AL:$AL,0))</f>
        <v>1</v>
      </c>
      <c r="N64" s="2" t="b">
        <f>INDEX(Data!AF:AF,MATCH($P64,Data!$AL:$AL,0))</f>
        <v>1</v>
      </c>
      <c r="O64" s="2">
        <f>INDEX(Data!Q:Q,MATCH($P64,Data!$AL:$AL,0))</f>
        <v>10</v>
      </c>
      <c r="P64" t="s">
        <v>63</v>
      </c>
      <c r="Q64" s="3" t="str">
        <f t="shared" si="0"/>
        <v>NCL2024-01-19 17-24-32</v>
      </c>
      <c r="R64" t="s">
        <v>84</v>
      </c>
    </row>
    <row r="65" spans="1:17" x14ac:dyDescent="0.25">
      <c r="A65" s="3">
        <v>64</v>
      </c>
      <c r="B65" s="216" t="s">
        <v>41</v>
      </c>
      <c r="C65" s="43">
        <f>INDEX(Data!M:M,MATCH(Q65,Data!AM:AM,0))</f>
        <v>86.4583333333333</v>
      </c>
      <c r="D65" s="57">
        <f>INDEX(Data!O:O,MATCH(Q65,Data!AM:AM,0))</f>
        <v>85.27</v>
      </c>
      <c r="E65">
        <f>INDEX(Data!T:T,MATCH($P65,Data!$AL:$AL,0))</f>
        <v>8</v>
      </c>
      <c r="F65">
        <f>INDEX(Data!P:P,MATCH($P65,Data!$AL:$AL,0))</f>
        <v>500</v>
      </c>
      <c r="G65">
        <f>INDEX(Data!Z:Z,MATCH($P65,Data!$AL:$AL,0))</f>
        <v>48</v>
      </c>
      <c r="H65">
        <f>INDEX(Data!AA:AA,MATCH($P65,Data!$AL:$AL,0))</f>
        <v>1000</v>
      </c>
      <c r="I65" t="str">
        <f>INDEX(Data!AB:AB,MATCH($P65,Data!$AL:$AL,0))</f>
        <v>[0.4, 0.3, 0.2, 0.1]</v>
      </c>
      <c r="J65" t="str">
        <f>INDEX(Data!V:V,MATCH($P65,Data!$AL:$AL,0))</f>
        <v>Adam</v>
      </c>
      <c r="K65" t="str">
        <f>INDEX(Data!W:W,MATCH($P65,Data!$AL:$AL,0))</f>
        <v>cross_entropy</v>
      </c>
      <c r="L65" t="str">
        <f>INDEX(Data!X:X,MATCH($P65,Data!$AL:$AL,0))</f>
        <v>gaussian</v>
      </c>
      <c r="M65" t="b">
        <f>INDEX(Data!AD:AD,MATCH($P65,Data!$AL:$AL,0))</f>
        <v>1</v>
      </c>
      <c r="N65" t="b">
        <f>INDEX(Data!AF:AF,MATCH($P65,Data!$AL:$AL,0))</f>
        <v>1</v>
      </c>
      <c r="O65">
        <f>INDEX(Data!Q:Q,MATCH($P65,Data!$AL:$AL,0))</f>
        <v>10</v>
      </c>
      <c r="P65" t="s">
        <v>63</v>
      </c>
      <c r="Q65" s="3" t="str">
        <f t="shared" si="0"/>
        <v>CL2024-01-19 17-24-32</v>
      </c>
    </row>
    <row r="66" spans="1:17" x14ac:dyDescent="0.25">
      <c r="A66" s="3">
        <v>65</v>
      </c>
      <c r="B66" s="216" t="s">
        <v>42</v>
      </c>
      <c r="C66" s="15">
        <f>INDEX(Data!M:M,MATCH(Q66,Data!AM:AM,0))</f>
        <v>90.4166666666666</v>
      </c>
      <c r="D66" s="15">
        <f>INDEX(Data!O:O,MATCH(Q66,Data!AM:AM,0))</f>
        <v>88.85</v>
      </c>
      <c r="E66">
        <f>INDEX(Data!T:T,MATCH($P66,Data!$AL:$AL,0))</f>
        <v>8</v>
      </c>
      <c r="F66">
        <f>INDEX(Data!P:P,MATCH($P66,Data!$AL:$AL,0))</f>
        <v>500</v>
      </c>
      <c r="G66">
        <f>INDEX(Data!Z:Z,MATCH($P66,Data!$AL:$AL,0))</f>
        <v>48</v>
      </c>
      <c r="H66">
        <f>INDEX(Data!AA:AA,MATCH($P66,Data!$AL:$AL,0))</f>
        <v>1000</v>
      </c>
      <c r="I66" t="str">
        <f>INDEX(Data!AB:AB,MATCH($P66,Data!$AL:$AL,0))</f>
        <v>[0.4, 0.3, 0.2, 0.1]</v>
      </c>
      <c r="J66" t="str">
        <f>INDEX(Data!V:V,MATCH($P66,Data!$AL:$AL,0))</f>
        <v>Adam</v>
      </c>
      <c r="K66" t="str">
        <f>INDEX(Data!W:W,MATCH($P66,Data!$AL:$AL,0))</f>
        <v>cross_entropy</v>
      </c>
      <c r="L66" t="str">
        <f>INDEX(Data!X:X,MATCH($P66,Data!$AL:$AL,0))</f>
        <v>gaussian</v>
      </c>
      <c r="M66" t="b">
        <f>INDEX(Data!AD:AD,MATCH($P66,Data!$AL:$AL,0))</f>
        <v>1</v>
      </c>
      <c r="N66" t="b">
        <f>INDEX(Data!AF:AF,MATCH($P66,Data!$AL:$AL,0))</f>
        <v>1</v>
      </c>
      <c r="O66">
        <f>INDEX(Data!Q:Q,MATCH($P66,Data!$AL:$AL,0))</f>
        <v>10</v>
      </c>
      <c r="P66" t="s">
        <v>63</v>
      </c>
      <c r="Q66" s="3" t="str">
        <f t="shared" ref="Q66:Q129" si="1">_xlfn.CONCAT(B66,P66)</f>
        <v>ACL2024-01-19 17-24-32</v>
      </c>
    </row>
    <row r="67" spans="1:17" x14ac:dyDescent="0.25">
      <c r="A67" s="3">
        <v>66</v>
      </c>
      <c r="B67" s="216" t="s">
        <v>43</v>
      </c>
      <c r="C67" s="10">
        <f>INDEX(Data!M:M,MATCH(Q67,Data!AM:AM,0))</f>
        <v>86.874999999999901</v>
      </c>
      <c r="D67" s="11">
        <f>INDEX(Data!O:O,MATCH(Q67,Data!AM:AM,0))</f>
        <v>84.53</v>
      </c>
      <c r="E67">
        <f>INDEX(Data!T:T,MATCH($P67,Data!$AL:$AL,0))</f>
        <v>8</v>
      </c>
      <c r="F67">
        <f>INDEX(Data!P:P,MATCH($P67,Data!$AL:$AL,0))</f>
        <v>500</v>
      </c>
      <c r="G67">
        <f>INDEX(Data!Z:Z,MATCH($P67,Data!$AL:$AL,0))</f>
        <v>48</v>
      </c>
      <c r="H67">
        <f>INDEX(Data!AA:AA,MATCH($P67,Data!$AL:$AL,0))</f>
        <v>1000</v>
      </c>
      <c r="I67" t="str">
        <f>INDEX(Data!AB:AB,MATCH($P67,Data!$AL:$AL,0))</f>
        <v>[0.4, 0.3, 0.2, 0.1]</v>
      </c>
      <c r="J67" t="str">
        <f>INDEX(Data!V:V,MATCH($P67,Data!$AL:$AL,0))</f>
        <v>Adam</v>
      </c>
      <c r="K67" t="str">
        <f>INDEX(Data!W:W,MATCH($P67,Data!$AL:$AL,0))</f>
        <v>cross_entropy</v>
      </c>
      <c r="L67" t="str">
        <f>INDEX(Data!X:X,MATCH($P67,Data!$AL:$AL,0))</f>
        <v>gaussian</v>
      </c>
      <c r="M67" t="b">
        <f>INDEX(Data!AD:AD,MATCH($P67,Data!$AL:$AL,0))</f>
        <v>1</v>
      </c>
      <c r="N67" t="b">
        <f>INDEX(Data!AF:AF,MATCH($P67,Data!$AL:$AL,0))</f>
        <v>1</v>
      </c>
      <c r="O67">
        <f>INDEX(Data!Q:Q,MATCH($P67,Data!$AL:$AL,0))</f>
        <v>10</v>
      </c>
      <c r="P67" t="s">
        <v>63</v>
      </c>
      <c r="Q67" s="3" t="str">
        <f t="shared" si="1"/>
        <v>SPCL2024-01-19 17-24-32</v>
      </c>
    </row>
    <row r="68" spans="1:17" x14ac:dyDescent="0.25">
      <c r="A68" s="4">
        <v>67</v>
      </c>
      <c r="B68" s="217" t="s">
        <v>44</v>
      </c>
      <c r="C68" s="36">
        <f>INDEX(Data!M:M,MATCH(Q68,Data!AM:AM,0))</f>
        <v>86.249999999999901</v>
      </c>
      <c r="D68" s="58">
        <f>INDEX(Data!O:O,MATCH(Q68,Data!AM:AM,0))</f>
        <v>84.72</v>
      </c>
      <c r="E68" s="1">
        <f>INDEX(Data!T:T,MATCH($P68,Data!$AL:$AL,0))</f>
        <v>8</v>
      </c>
      <c r="F68" s="1">
        <f>INDEX(Data!P:P,MATCH($P68,Data!$AL:$AL,0))</f>
        <v>500</v>
      </c>
      <c r="G68" s="1">
        <f>INDEX(Data!Z:Z,MATCH($P68,Data!$AL:$AL,0))</f>
        <v>48</v>
      </c>
      <c r="H68" s="1">
        <f>INDEX(Data!AA:AA,MATCH($P68,Data!$AL:$AL,0))</f>
        <v>1000</v>
      </c>
      <c r="I68" s="1" t="str">
        <f>INDEX(Data!AB:AB,MATCH($P68,Data!$AL:$AL,0))</f>
        <v>[0.4, 0.3, 0.2, 0.1]</v>
      </c>
      <c r="J68" s="1" t="str">
        <f>INDEX(Data!V:V,MATCH($P68,Data!$AL:$AL,0))</f>
        <v>Adam</v>
      </c>
      <c r="K68" s="1" t="str">
        <f>INDEX(Data!W:W,MATCH($P68,Data!$AL:$AL,0))</f>
        <v>cross_entropy</v>
      </c>
      <c r="L68" s="1" t="str">
        <f>INDEX(Data!X:X,MATCH($P68,Data!$AL:$AL,0))</f>
        <v>gaussian</v>
      </c>
      <c r="M68" s="1" t="b">
        <f>INDEX(Data!AD:AD,MATCH($P68,Data!$AL:$AL,0))</f>
        <v>1</v>
      </c>
      <c r="N68" s="1" t="b">
        <f>INDEX(Data!AF:AF,MATCH($P68,Data!$AL:$AL,0))</f>
        <v>1</v>
      </c>
      <c r="O68" s="1">
        <f>INDEX(Data!Q:Q,MATCH($P68,Data!$AL:$AL,0))</f>
        <v>10</v>
      </c>
      <c r="P68" s="1" t="s">
        <v>63</v>
      </c>
      <c r="Q68" s="4" t="str">
        <f t="shared" si="1"/>
        <v>SPACL2024-01-19 17-24-32</v>
      </c>
    </row>
    <row r="69" spans="1:17" x14ac:dyDescent="0.25">
      <c r="A69" s="3">
        <v>68</v>
      </c>
      <c r="B69" s="218" t="s">
        <v>40</v>
      </c>
      <c r="C69" s="19">
        <f>INDEX(Data!M:M,MATCH(Q69,Data!AM:AM,0))</f>
        <v>95.416666669999998</v>
      </c>
      <c r="D69" s="19">
        <f>INDEX(Data!O:O,MATCH(Q69,Data!AM:AM,0))</f>
        <v>88.84</v>
      </c>
      <c r="E69" s="2">
        <f>INDEX(Data!T:T,MATCH($P69,Data!$AL:$AL,0))</f>
        <v>8</v>
      </c>
      <c r="F69" s="2">
        <f>INDEX(Data!P:P,MATCH($P69,Data!$AL:$AL,0))</f>
        <v>500</v>
      </c>
      <c r="G69" s="2">
        <f>INDEX(Data!Z:Z,MATCH($P69,Data!$AL:$AL,0))</f>
        <v>48</v>
      </c>
      <c r="H69" s="2">
        <f>INDEX(Data!AA:AA,MATCH($P69,Data!$AL:$AL,0))</f>
        <v>1000</v>
      </c>
      <c r="I69" s="2" t="str">
        <f>INDEX(Data!AB:AB,MATCH($P69,Data!$AL:$AL,0))</f>
        <v>[0.4, 0.3, 0.2, 0.1]</v>
      </c>
      <c r="J69" s="2" t="str">
        <f>INDEX(Data!V:V,MATCH($P69,Data!$AL:$AL,0))</f>
        <v>Adam</v>
      </c>
      <c r="K69" s="2" t="str">
        <f>INDEX(Data!W:W,MATCH($P69,Data!$AL:$AL,0))</f>
        <v>mean_squares</v>
      </c>
      <c r="L69" s="2" t="str">
        <f>INDEX(Data!X:X,MATCH($P69,Data!$AL:$AL,0))</f>
        <v>gaussian</v>
      </c>
      <c r="M69" s="2" t="b">
        <f>INDEX(Data!AD:AD,MATCH($P69,Data!$AL:$AL,0))</f>
        <v>1</v>
      </c>
      <c r="N69" s="2" t="b">
        <f>INDEX(Data!AF:AF,MATCH($P69,Data!$AL:$AL,0))</f>
        <v>1</v>
      </c>
      <c r="O69" s="2">
        <f>INDEX(Data!Q:Q,MATCH($P69,Data!$AL:$AL,0))</f>
        <v>10</v>
      </c>
      <c r="P69" t="s">
        <v>65</v>
      </c>
      <c r="Q69" s="3" t="str">
        <f t="shared" si="1"/>
        <v>NCL2024-01-19 17-59-52</v>
      </c>
    </row>
    <row r="70" spans="1:17" x14ac:dyDescent="0.25">
      <c r="A70" s="3">
        <v>69</v>
      </c>
      <c r="B70" s="216" t="s">
        <v>41</v>
      </c>
      <c r="C70" s="11">
        <f>INDEX(Data!M:M,MATCH(Q70,Data!AM:AM,0))</f>
        <v>92.708333330000002</v>
      </c>
      <c r="D70" s="11">
        <f>INDEX(Data!O:O,MATCH(Q70,Data!AM:AM,0))</f>
        <v>86.68</v>
      </c>
      <c r="E70">
        <f>INDEX(Data!T:T,MATCH($P70,Data!$AL:$AL,0))</f>
        <v>8</v>
      </c>
      <c r="F70">
        <f>INDEX(Data!P:P,MATCH($P70,Data!$AL:$AL,0))</f>
        <v>500</v>
      </c>
      <c r="G70">
        <f>INDEX(Data!Z:Z,MATCH($P70,Data!$AL:$AL,0))</f>
        <v>48</v>
      </c>
      <c r="H70">
        <f>INDEX(Data!AA:AA,MATCH($P70,Data!$AL:$AL,0))</f>
        <v>1000</v>
      </c>
      <c r="I70" t="str">
        <f>INDEX(Data!AB:AB,MATCH($P70,Data!$AL:$AL,0))</f>
        <v>[0.4, 0.3, 0.2, 0.1]</v>
      </c>
      <c r="J70" t="str">
        <f>INDEX(Data!V:V,MATCH($P70,Data!$AL:$AL,0))</f>
        <v>Adam</v>
      </c>
      <c r="K70" t="str">
        <f>INDEX(Data!W:W,MATCH($P70,Data!$AL:$AL,0))</f>
        <v>mean_squares</v>
      </c>
      <c r="L70" t="str">
        <f>INDEX(Data!X:X,MATCH($P70,Data!$AL:$AL,0))</f>
        <v>gaussian</v>
      </c>
      <c r="M70" t="b">
        <f>INDEX(Data!AD:AD,MATCH($P70,Data!$AL:$AL,0))</f>
        <v>1</v>
      </c>
      <c r="N70" t="b">
        <f>INDEX(Data!AF:AF,MATCH($P70,Data!$AL:$AL,0))</f>
        <v>1</v>
      </c>
      <c r="O70">
        <f>INDEX(Data!Q:Q,MATCH($P70,Data!$AL:$AL,0))</f>
        <v>10</v>
      </c>
      <c r="P70" t="s">
        <v>65</v>
      </c>
      <c r="Q70" s="3" t="str">
        <f t="shared" si="1"/>
        <v>CL2024-01-19 17-59-52</v>
      </c>
    </row>
    <row r="71" spans="1:17" x14ac:dyDescent="0.25">
      <c r="A71" s="3">
        <v>70</v>
      </c>
      <c r="B71" s="216" t="s">
        <v>42</v>
      </c>
      <c r="C71" s="59">
        <f>INDEX(Data!M:M,MATCH(Q71,Data!AM:AM,0))</f>
        <v>94.791666669999998</v>
      </c>
      <c r="D71" s="10">
        <f>INDEX(Data!O:O,MATCH(Q71,Data!AM:AM,0))</f>
        <v>87.9</v>
      </c>
      <c r="E71">
        <f>INDEX(Data!T:T,MATCH($P71,Data!$AL:$AL,0))</f>
        <v>8</v>
      </c>
      <c r="F71">
        <f>INDEX(Data!P:P,MATCH($P71,Data!$AL:$AL,0))</f>
        <v>500</v>
      </c>
      <c r="G71">
        <f>INDEX(Data!Z:Z,MATCH($P71,Data!$AL:$AL,0))</f>
        <v>48</v>
      </c>
      <c r="H71">
        <f>INDEX(Data!AA:AA,MATCH($P71,Data!$AL:$AL,0))</f>
        <v>1000</v>
      </c>
      <c r="I71" t="str">
        <f>INDEX(Data!AB:AB,MATCH($P71,Data!$AL:$AL,0))</f>
        <v>[0.4, 0.3, 0.2, 0.1]</v>
      </c>
      <c r="J71" t="str">
        <f>INDEX(Data!V:V,MATCH($P71,Data!$AL:$AL,0))</f>
        <v>Adam</v>
      </c>
      <c r="K71" t="str">
        <f>INDEX(Data!W:W,MATCH($P71,Data!$AL:$AL,0))</f>
        <v>mean_squares</v>
      </c>
      <c r="L71" t="str">
        <f>INDEX(Data!X:X,MATCH($P71,Data!$AL:$AL,0))</f>
        <v>gaussian</v>
      </c>
      <c r="M71" t="b">
        <f>INDEX(Data!AD:AD,MATCH($P71,Data!$AL:$AL,0))</f>
        <v>1</v>
      </c>
      <c r="N71" t="b">
        <f>INDEX(Data!AF:AF,MATCH($P71,Data!$AL:$AL,0))</f>
        <v>1</v>
      </c>
      <c r="O71">
        <f>INDEX(Data!Q:Q,MATCH($P71,Data!$AL:$AL,0))</f>
        <v>10</v>
      </c>
      <c r="P71" t="s">
        <v>65</v>
      </c>
      <c r="Q71" s="3" t="str">
        <f t="shared" si="1"/>
        <v>ACL2024-01-19 17-59-52</v>
      </c>
    </row>
    <row r="72" spans="1:17" x14ac:dyDescent="0.25">
      <c r="A72" s="3">
        <v>71</v>
      </c>
      <c r="B72" s="216" t="s">
        <v>43</v>
      </c>
      <c r="C72" s="10">
        <f>INDEX(Data!M:M,MATCH(Q72,Data!AM:AM,0))</f>
        <v>93.75</v>
      </c>
      <c r="D72" s="60">
        <f>INDEX(Data!O:O,MATCH(Q72,Data!AM:AM,0))</f>
        <v>88.01</v>
      </c>
      <c r="E72">
        <f>INDEX(Data!T:T,MATCH($P72,Data!$AL:$AL,0))</f>
        <v>8</v>
      </c>
      <c r="F72">
        <f>INDEX(Data!P:P,MATCH($P72,Data!$AL:$AL,0))</f>
        <v>500</v>
      </c>
      <c r="G72">
        <f>INDEX(Data!Z:Z,MATCH($P72,Data!$AL:$AL,0))</f>
        <v>48</v>
      </c>
      <c r="H72">
        <f>INDEX(Data!AA:AA,MATCH($P72,Data!$AL:$AL,0))</f>
        <v>1000</v>
      </c>
      <c r="I72" t="str">
        <f>INDEX(Data!AB:AB,MATCH($P72,Data!$AL:$AL,0))</f>
        <v>[0.4, 0.3, 0.2, 0.1]</v>
      </c>
      <c r="J72" t="str">
        <f>INDEX(Data!V:V,MATCH($P72,Data!$AL:$AL,0))</f>
        <v>Adam</v>
      </c>
      <c r="K72" t="str">
        <f>INDEX(Data!W:W,MATCH($P72,Data!$AL:$AL,0))</f>
        <v>mean_squares</v>
      </c>
      <c r="L72" t="str">
        <f>INDEX(Data!X:X,MATCH($P72,Data!$AL:$AL,0))</f>
        <v>gaussian</v>
      </c>
      <c r="M72" t="b">
        <f>INDEX(Data!AD:AD,MATCH($P72,Data!$AL:$AL,0))</f>
        <v>1</v>
      </c>
      <c r="N72" t="b">
        <f>INDEX(Data!AF:AF,MATCH($P72,Data!$AL:$AL,0))</f>
        <v>1</v>
      </c>
      <c r="O72">
        <f>INDEX(Data!Q:Q,MATCH($P72,Data!$AL:$AL,0))</f>
        <v>10</v>
      </c>
      <c r="P72" t="s">
        <v>65</v>
      </c>
      <c r="Q72" s="3" t="str">
        <f t="shared" si="1"/>
        <v>SPCL2024-01-19 17-59-52</v>
      </c>
    </row>
    <row r="73" spans="1:17" x14ac:dyDescent="0.25">
      <c r="A73" s="4">
        <v>72</v>
      </c>
      <c r="B73" s="217" t="s">
        <v>44</v>
      </c>
      <c r="C73" s="61">
        <f>INDEX(Data!M:M,MATCH(Q73,Data!AM:AM,0))</f>
        <v>93.541666669999998</v>
      </c>
      <c r="D73" s="62">
        <f>INDEX(Data!O:O,MATCH(Q73,Data!AM:AM,0))</f>
        <v>87.21</v>
      </c>
      <c r="E73" s="1">
        <f>INDEX(Data!T:T,MATCH($P73,Data!$AL:$AL,0))</f>
        <v>8</v>
      </c>
      <c r="F73" s="1">
        <f>INDEX(Data!P:P,MATCH($P73,Data!$AL:$AL,0))</f>
        <v>500</v>
      </c>
      <c r="G73" s="1">
        <f>INDEX(Data!Z:Z,MATCH($P73,Data!$AL:$AL,0))</f>
        <v>48</v>
      </c>
      <c r="H73" s="1">
        <f>INDEX(Data!AA:AA,MATCH($P73,Data!$AL:$AL,0))</f>
        <v>1000</v>
      </c>
      <c r="I73" s="1" t="str">
        <f>INDEX(Data!AB:AB,MATCH($P73,Data!$AL:$AL,0))</f>
        <v>[0.4, 0.3, 0.2, 0.1]</v>
      </c>
      <c r="J73" s="1" t="str">
        <f>INDEX(Data!V:V,MATCH($P73,Data!$AL:$AL,0))</f>
        <v>Adam</v>
      </c>
      <c r="K73" s="1" t="str">
        <f>INDEX(Data!W:W,MATCH($P73,Data!$AL:$AL,0))</f>
        <v>mean_squares</v>
      </c>
      <c r="L73" s="1" t="str">
        <f>INDEX(Data!X:X,MATCH($P73,Data!$AL:$AL,0))</f>
        <v>gaussian</v>
      </c>
      <c r="M73" s="1" t="b">
        <f>INDEX(Data!AD:AD,MATCH($P73,Data!$AL:$AL,0))</f>
        <v>1</v>
      </c>
      <c r="N73" s="1" t="b">
        <f>INDEX(Data!AF:AF,MATCH($P73,Data!$AL:$AL,0))</f>
        <v>1</v>
      </c>
      <c r="O73" s="1">
        <f>INDEX(Data!Q:Q,MATCH($P73,Data!$AL:$AL,0))</f>
        <v>10</v>
      </c>
      <c r="P73" s="1" t="s">
        <v>65</v>
      </c>
      <c r="Q73" s="4" t="str">
        <f t="shared" si="1"/>
        <v>SPACL2024-01-19 17-59-52</v>
      </c>
    </row>
    <row r="74" spans="1:17" x14ac:dyDescent="0.25">
      <c r="A74" s="3">
        <v>73</v>
      </c>
      <c r="B74" s="218" t="s">
        <v>40</v>
      </c>
      <c r="C74" s="19">
        <f>INDEX(Data!M:M,MATCH(Q74,Data!AM:AM,0))</f>
        <v>90.416666669999998</v>
      </c>
      <c r="D74" s="19">
        <f>INDEX(Data!O:O,MATCH(Q74,Data!AM:AM,0))</f>
        <v>86.54</v>
      </c>
      <c r="E74" s="2">
        <f>INDEX(Data!T:T,MATCH($P74,Data!$AL:$AL,0))</f>
        <v>8</v>
      </c>
      <c r="F74" s="2">
        <f>INDEX(Data!P:P,MATCH($P74,Data!$AL:$AL,0))</f>
        <v>500</v>
      </c>
      <c r="G74" s="2">
        <f>INDEX(Data!Z:Z,MATCH($P74,Data!$AL:$AL,0))</f>
        <v>48</v>
      </c>
      <c r="H74" s="2">
        <f>INDEX(Data!AA:AA,MATCH($P74,Data!$AL:$AL,0))</f>
        <v>1000</v>
      </c>
      <c r="I74" s="2" t="str">
        <f>INDEX(Data!AB:AB,MATCH($P74,Data!$AL:$AL,0))</f>
        <v>[0.4, 0.3, 0.2, 0.1]</v>
      </c>
      <c r="J74" s="2" t="str">
        <f>INDEX(Data!V:V,MATCH($P74,Data!$AL:$AL,0))</f>
        <v>Adam</v>
      </c>
      <c r="K74" s="2" t="str">
        <f>INDEX(Data!W:W,MATCH($P74,Data!$AL:$AL,0))</f>
        <v>cross_entropy</v>
      </c>
      <c r="L74" s="2" t="str">
        <f>INDEX(Data!X:X,MATCH($P74,Data!$AL:$AL,0))</f>
        <v>gaussian</v>
      </c>
      <c r="M74" s="2" t="b">
        <f>INDEX(Data!AD:AD,MATCH($P74,Data!$AL:$AL,0))</f>
        <v>0</v>
      </c>
      <c r="N74" s="2" t="b">
        <f>INDEX(Data!AF:AF,MATCH($P74,Data!$AL:$AL,0))</f>
        <v>1</v>
      </c>
      <c r="O74" s="2">
        <f>INDEX(Data!Q:Q,MATCH($P74,Data!$AL:$AL,0))</f>
        <v>10</v>
      </c>
      <c r="P74" t="s">
        <v>67</v>
      </c>
      <c r="Q74" s="3" t="str">
        <f t="shared" si="1"/>
        <v>NCL2024-01-19 18-15-11</v>
      </c>
    </row>
    <row r="75" spans="1:17" x14ac:dyDescent="0.25">
      <c r="A75" s="3">
        <v>74</v>
      </c>
      <c r="B75" s="216" t="s">
        <v>41</v>
      </c>
      <c r="C75" s="63">
        <f>INDEX(Data!M:M,MATCH(Q75,Data!AM:AM,0))</f>
        <v>83.958333330000002</v>
      </c>
      <c r="D75" s="11">
        <f>INDEX(Data!O:O,MATCH(Q75,Data!AM:AM,0))</f>
        <v>80.400000000000006</v>
      </c>
      <c r="E75">
        <f>INDEX(Data!T:T,MATCH($P75,Data!$AL:$AL,0))</f>
        <v>8</v>
      </c>
      <c r="F75">
        <f>INDEX(Data!P:P,MATCH($P75,Data!$AL:$AL,0))</f>
        <v>500</v>
      </c>
      <c r="G75">
        <f>INDEX(Data!Z:Z,MATCH($P75,Data!$AL:$AL,0))</f>
        <v>48</v>
      </c>
      <c r="H75">
        <f>INDEX(Data!AA:AA,MATCH($P75,Data!$AL:$AL,0))</f>
        <v>1000</v>
      </c>
      <c r="I75" t="str">
        <f>INDEX(Data!AB:AB,MATCH($P75,Data!$AL:$AL,0))</f>
        <v>[0.4, 0.3, 0.2, 0.1]</v>
      </c>
      <c r="J75" t="str">
        <f>INDEX(Data!V:V,MATCH($P75,Data!$AL:$AL,0))</f>
        <v>Adam</v>
      </c>
      <c r="K75" t="str">
        <f>INDEX(Data!W:W,MATCH($P75,Data!$AL:$AL,0))</f>
        <v>cross_entropy</v>
      </c>
      <c r="L75" t="str">
        <f>INDEX(Data!X:X,MATCH($P75,Data!$AL:$AL,0))</f>
        <v>gaussian</v>
      </c>
      <c r="M75" t="b">
        <f>INDEX(Data!AD:AD,MATCH($P75,Data!$AL:$AL,0))</f>
        <v>0</v>
      </c>
      <c r="N75" t="b">
        <f>INDEX(Data!AF:AF,MATCH($P75,Data!$AL:$AL,0))</f>
        <v>1</v>
      </c>
      <c r="O75">
        <f>INDEX(Data!Q:Q,MATCH($P75,Data!$AL:$AL,0))</f>
        <v>10</v>
      </c>
      <c r="P75" t="s">
        <v>67</v>
      </c>
      <c r="Q75" s="3" t="str">
        <f t="shared" si="1"/>
        <v>CL2024-01-19 18-15-11</v>
      </c>
    </row>
    <row r="76" spans="1:17" x14ac:dyDescent="0.25">
      <c r="A76" s="3">
        <v>75</v>
      </c>
      <c r="B76" s="216" t="s">
        <v>42</v>
      </c>
      <c r="C76" s="64">
        <f>INDEX(Data!M:M,MATCH(Q76,Data!AM:AM,0))</f>
        <v>86.041666669999998</v>
      </c>
      <c r="D76" s="65">
        <f>INDEX(Data!O:O,MATCH(Q76,Data!AM:AM,0))</f>
        <v>83.08</v>
      </c>
      <c r="E76">
        <f>INDEX(Data!T:T,MATCH($P76,Data!$AL:$AL,0))</f>
        <v>8</v>
      </c>
      <c r="F76">
        <f>INDEX(Data!P:P,MATCH($P76,Data!$AL:$AL,0))</f>
        <v>500</v>
      </c>
      <c r="G76">
        <f>INDEX(Data!Z:Z,MATCH($P76,Data!$AL:$AL,0))</f>
        <v>48</v>
      </c>
      <c r="H76">
        <f>INDEX(Data!AA:AA,MATCH($P76,Data!$AL:$AL,0))</f>
        <v>1000</v>
      </c>
      <c r="I76" t="str">
        <f>INDEX(Data!AB:AB,MATCH($P76,Data!$AL:$AL,0))</f>
        <v>[0.4, 0.3, 0.2, 0.1]</v>
      </c>
      <c r="J76" t="str">
        <f>INDEX(Data!V:V,MATCH($P76,Data!$AL:$AL,0))</f>
        <v>Adam</v>
      </c>
      <c r="K76" t="str">
        <f>INDEX(Data!W:W,MATCH($P76,Data!$AL:$AL,0))</f>
        <v>cross_entropy</v>
      </c>
      <c r="L76" t="str">
        <f>INDEX(Data!X:X,MATCH($P76,Data!$AL:$AL,0))</f>
        <v>gaussian</v>
      </c>
      <c r="M76" t="b">
        <f>INDEX(Data!AD:AD,MATCH($P76,Data!$AL:$AL,0))</f>
        <v>0</v>
      </c>
      <c r="N76" t="b">
        <f>INDEX(Data!AF:AF,MATCH($P76,Data!$AL:$AL,0))</f>
        <v>1</v>
      </c>
      <c r="O76">
        <f>INDEX(Data!Q:Q,MATCH($P76,Data!$AL:$AL,0))</f>
        <v>10</v>
      </c>
      <c r="P76" t="s">
        <v>67</v>
      </c>
      <c r="Q76" s="3" t="str">
        <f t="shared" si="1"/>
        <v>ACL2024-01-19 18-15-11</v>
      </c>
    </row>
    <row r="77" spans="1:17" x14ac:dyDescent="0.25">
      <c r="A77" s="3">
        <v>76</v>
      </c>
      <c r="B77" s="216" t="s">
        <v>43</v>
      </c>
      <c r="C77" s="10">
        <f>INDEX(Data!M:M,MATCH(Q77,Data!AM:AM,0))</f>
        <v>84.791666669999998</v>
      </c>
      <c r="D77" s="10">
        <f>INDEX(Data!O:O,MATCH(Q77,Data!AM:AM,0))</f>
        <v>81.99</v>
      </c>
      <c r="E77">
        <f>INDEX(Data!T:T,MATCH($P77,Data!$AL:$AL,0))</f>
        <v>8</v>
      </c>
      <c r="F77">
        <f>INDEX(Data!P:P,MATCH($P77,Data!$AL:$AL,0))</f>
        <v>500</v>
      </c>
      <c r="G77">
        <f>INDEX(Data!Z:Z,MATCH($P77,Data!$AL:$AL,0))</f>
        <v>48</v>
      </c>
      <c r="H77">
        <f>INDEX(Data!AA:AA,MATCH($P77,Data!$AL:$AL,0))</f>
        <v>1000</v>
      </c>
      <c r="I77" t="str">
        <f>INDEX(Data!AB:AB,MATCH($P77,Data!$AL:$AL,0))</f>
        <v>[0.4, 0.3, 0.2, 0.1]</v>
      </c>
      <c r="J77" t="str">
        <f>INDEX(Data!V:V,MATCH($P77,Data!$AL:$AL,0))</f>
        <v>Adam</v>
      </c>
      <c r="K77" t="str">
        <f>INDEX(Data!W:W,MATCH($P77,Data!$AL:$AL,0))</f>
        <v>cross_entropy</v>
      </c>
      <c r="L77" t="str">
        <f>INDEX(Data!X:X,MATCH($P77,Data!$AL:$AL,0))</f>
        <v>gaussian</v>
      </c>
      <c r="M77" t="b">
        <f>INDEX(Data!AD:AD,MATCH($P77,Data!$AL:$AL,0))</f>
        <v>0</v>
      </c>
      <c r="N77" t="b">
        <f>INDEX(Data!AF:AF,MATCH($P77,Data!$AL:$AL,0))</f>
        <v>1</v>
      </c>
      <c r="O77">
        <f>INDEX(Data!Q:Q,MATCH($P77,Data!$AL:$AL,0))</f>
        <v>10</v>
      </c>
      <c r="P77" t="s">
        <v>67</v>
      </c>
      <c r="Q77" s="3" t="str">
        <f t="shared" si="1"/>
        <v>SPCL2024-01-19 18-15-11</v>
      </c>
    </row>
    <row r="78" spans="1:17" x14ac:dyDescent="0.25">
      <c r="A78" s="4">
        <v>77</v>
      </c>
      <c r="B78" s="217" t="s">
        <v>44</v>
      </c>
      <c r="C78" s="36">
        <f>INDEX(Data!M:M,MATCH(Q78,Data!AM:AM,0))</f>
        <v>83.75</v>
      </c>
      <c r="D78" s="20">
        <f>INDEX(Data!O:O,MATCH(Q78,Data!AM:AM,0))</f>
        <v>81.31</v>
      </c>
      <c r="E78" s="1">
        <f>INDEX(Data!T:T,MATCH($P78,Data!$AL:$AL,0))</f>
        <v>8</v>
      </c>
      <c r="F78" s="1">
        <f>INDEX(Data!P:P,MATCH($P78,Data!$AL:$AL,0))</f>
        <v>500</v>
      </c>
      <c r="G78" s="1">
        <f>INDEX(Data!Z:Z,MATCH($P78,Data!$AL:$AL,0))</f>
        <v>48</v>
      </c>
      <c r="H78" s="1">
        <f>INDEX(Data!AA:AA,MATCH($P78,Data!$AL:$AL,0))</f>
        <v>1000</v>
      </c>
      <c r="I78" s="1" t="str">
        <f>INDEX(Data!AB:AB,MATCH($P78,Data!$AL:$AL,0))</f>
        <v>[0.4, 0.3, 0.2, 0.1]</v>
      </c>
      <c r="J78" s="1" t="str">
        <f>INDEX(Data!V:V,MATCH($P78,Data!$AL:$AL,0))</f>
        <v>Adam</v>
      </c>
      <c r="K78" s="1" t="str">
        <f>INDEX(Data!W:W,MATCH($P78,Data!$AL:$AL,0))</f>
        <v>cross_entropy</v>
      </c>
      <c r="L78" s="1" t="str">
        <f>INDEX(Data!X:X,MATCH($P78,Data!$AL:$AL,0))</f>
        <v>gaussian</v>
      </c>
      <c r="M78" s="1" t="b">
        <f>INDEX(Data!AD:AD,MATCH($P78,Data!$AL:$AL,0))</f>
        <v>0</v>
      </c>
      <c r="N78" s="1" t="b">
        <f>INDEX(Data!AF:AF,MATCH($P78,Data!$AL:$AL,0))</f>
        <v>1</v>
      </c>
      <c r="O78" s="1">
        <f>INDEX(Data!Q:Q,MATCH($P78,Data!$AL:$AL,0))</f>
        <v>10</v>
      </c>
      <c r="P78" s="1" t="s">
        <v>67</v>
      </c>
      <c r="Q78" s="4" t="str">
        <f t="shared" si="1"/>
        <v>SPACL2024-01-19 18-15-11</v>
      </c>
    </row>
    <row r="79" spans="1:17" x14ac:dyDescent="0.25">
      <c r="A79" s="3">
        <v>78</v>
      </c>
      <c r="B79" s="218" t="s">
        <v>40</v>
      </c>
      <c r="C79" s="19">
        <f>INDEX(Data!M:M,MATCH(Q79,Data!AM:AM,0))</f>
        <v>86.041666669999998</v>
      </c>
      <c r="D79" s="19">
        <f>INDEX(Data!O:O,MATCH(Q79,Data!AM:AM,0))</f>
        <v>84.12</v>
      </c>
      <c r="E79" s="2">
        <f>INDEX(Data!T:T,MATCH($P79,Data!$AL:$AL,0))</f>
        <v>8</v>
      </c>
      <c r="F79" s="2">
        <f>INDEX(Data!P:P,MATCH($P79,Data!$AL:$AL,0))</f>
        <v>500</v>
      </c>
      <c r="G79" s="2">
        <f>INDEX(Data!Z:Z,MATCH($P79,Data!$AL:$AL,0))</f>
        <v>48</v>
      </c>
      <c r="H79" s="2">
        <f>INDEX(Data!AA:AA,MATCH($P79,Data!$AL:$AL,0))</f>
        <v>1000</v>
      </c>
      <c r="I79" s="2" t="str">
        <f>INDEX(Data!AB:AB,MATCH($P79,Data!$AL:$AL,0))</f>
        <v>[0.4, 0.3, 0.2, 0.1]</v>
      </c>
      <c r="J79" s="2" t="str">
        <f>INDEX(Data!V:V,MATCH($P79,Data!$AL:$AL,0))</f>
        <v>Adam</v>
      </c>
      <c r="K79" s="2" t="str">
        <f>INDEX(Data!W:W,MATCH($P79,Data!$AL:$AL,0))</f>
        <v>mean_squares</v>
      </c>
      <c r="L79" s="2" t="str">
        <f>INDEX(Data!X:X,MATCH($P79,Data!$AL:$AL,0))</f>
        <v>gaussian</v>
      </c>
      <c r="M79" s="2" t="b">
        <f>INDEX(Data!AD:AD,MATCH($P79,Data!$AL:$AL,0))</f>
        <v>0</v>
      </c>
      <c r="N79" s="2" t="b">
        <f>INDEX(Data!AF:AF,MATCH($P79,Data!$AL:$AL,0))</f>
        <v>1</v>
      </c>
      <c r="O79" s="2">
        <f>INDEX(Data!Q:Q,MATCH($P79,Data!$AL:$AL,0))</f>
        <v>10</v>
      </c>
      <c r="P79" t="s">
        <v>68</v>
      </c>
      <c r="Q79" s="3" t="str">
        <f t="shared" si="1"/>
        <v>NCL2024-01-19 19-06-13</v>
      </c>
    </row>
    <row r="80" spans="1:17" x14ac:dyDescent="0.25">
      <c r="A80" s="3">
        <v>79</v>
      </c>
      <c r="B80" s="216" t="s">
        <v>41</v>
      </c>
      <c r="C80" s="66">
        <f>INDEX(Data!M:M,MATCH(Q80,Data!AM:AM,0))</f>
        <v>83.541666669999998</v>
      </c>
      <c r="D80" s="67">
        <f>INDEX(Data!O:O,MATCH(Q80,Data!AM:AM,0))</f>
        <v>81.569999999999993</v>
      </c>
      <c r="E80">
        <f>INDEX(Data!T:T,MATCH($P80,Data!$AL:$AL,0))</f>
        <v>8</v>
      </c>
      <c r="F80">
        <f>INDEX(Data!P:P,MATCH($P80,Data!$AL:$AL,0))</f>
        <v>500</v>
      </c>
      <c r="G80">
        <f>INDEX(Data!Z:Z,MATCH($P80,Data!$AL:$AL,0))</f>
        <v>48</v>
      </c>
      <c r="H80">
        <f>INDEX(Data!AA:AA,MATCH($P80,Data!$AL:$AL,0))</f>
        <v>1000</v>
      </c>
      <c r="I80" t="str">
        <f>INDEX(Data!AB:AB,MATCH($P80,Data!$AL:$AL,0))</f>
        <v>[0.4, 0.3, 0.2, 0.1]</v>
      </c>
      <c r="J80" t="str">
        <f>INDEX(Data!V:V,MATCH($P80,Data!$AL:$AL,0))</f>
        <v>Adam</v>
      </c>
      <c r="K80" t="str">
        <f>INDEX(Data!W:W,MATCH($P80,Data!$AL:$AL,0))</f>
        <v>mean_squares</v>
      </c>
      <c r="L80" t="str">
        <f>INDEX(Data!X:X,MATCH($P80,Data!$AL:$AL,0))</f>
        <v>gaussian</v>
      </c>
      <c r="M80" t="b">
        <f>INDEX(Data!AD:AD,MATCH($P80,Data!$AL:$AL,0))</f>
        <v>0</v>
      </c>
      <c r="N80" t="b">
        <f>INDEX(Data!AF:AF,MATCH($P80,Data!$AL:$AL,0))</f>
        <v>1</v>
      </c>
      <c r="O80">
        <f>INDEX(Data!Q:Q,MATCH($P80,Data!$AL:$AL,0))</f>
        <v>10</v>
      </c>
      <c r="P80" t="s">
        <v>68</v>
      </c>
      <c r="Q80" s="3" t="str">
        <f t="shared" si="1"/>
        <v>CL2024-01-19 19-06-13</v>
      </c>
    </row>
    <row r="81" spans="1:17" x14ac:dyDescent="0.25">
      <c r="A81" s="3">
        <v>80</v>
      </c>
      <c r="B81" s="216" t="s">
        <v>42</v>
      </c>
      <c r="C81" s="171">
        <f>INDEX(Data!M:M,MATCH(Q81,Data!AM:AM,0))</f>
        <v>85.833333330000002</v>
      </c>
      <c r="D81" s="173">
        <f>INDEX(Data!O:O,MATCH(Q81,Data!AM:AM,0))</f>
        <v>82.91</v>
      </c>
      <c r="E81">
        <f>INDEX(Data!T:T,MATCH($P81,Data!$AL:$AL,0))</f>
        <v>8</v>
      </c>
      <c r="F81">
        <f>INDEX(Data!P:P,MATCH($P81,Data!$AL:$AL,0))</f>
        <v>500</v>
      </c>
      <c r="G81">
        <f>INDEX(Data!Z:Z,MATCH($P81,Data!$AL:$AL,0))</f>
        <v>48</v>
      </c>
      <c r="H81">
        <f>INDEX(Data!AA:AA,MATCH($P81,Data!$AL:$AL,0))</f>
        <v>1000</v>
      </c>
      <c r="I81" t="str">
        <f>INDEX(Data!AB:AB,MATCH($P81,Data!$AL:$AL,0))</f>
        <v>[0.4, 0.3, 0.2, 0.1]</v>
      </c>
      <c r="J81" t="str">
        <f>INDEX(Data!V:V,MATCH($P81,Data!$AL:$AL,0))</f>
        <v>Adam</v>
      </c>
      <c r="K81" t="str">
        <f>INDEX(Data!W:W,MATCH($P81,Data!$AL:$AL,0))</f>
        <v>mean_squares</v>
      </c>
      <c r="L81" t="str">
        <f>INDEX(Data!X:X,MATCH($P81,Data!$AL:$AL,0))</f>
        <v>gaussian</v>
      </c>
      <c r="M81" t="b">
        <f>INDEX(Data!AD:AD,MATCH($P81,Data!$AL:$AL,0))</f>
        <v>0</v>
      </c>
      <c r="N81" t="b">
        <f>INDEX(Data!AF:AF,MATCH($P81,Data!$AL:$AL,0))</f>
        <v>1</v>
      </c>
      <c r="O81">
        <f>INDEX(Data!Q:Q,MATCH($P81,Data!$AL:$AL,0))</f>
        <v>10</v>
      </c>
      <c r="P81" t="s">
        <v>68</v>
      </c>
      <c r="Q81" s="3" t="str">
        <f t="shared" si="1"/>
        <v>ACL2024-01-19 19-06-13</v>
      </c>
    </row>
    <row r="82" spans="1:17" x14ac:dyDescent="0.25">
      <c r="A82" s="3">
        <v>81</v>
      </c>
      <c r="B82" s="216" t="s">
        <v>43</v>
      </c>
      <c r="C82" s="10">
        <f>INDEX(Data!M:M,MATCH(Q82,Data!AM:AM,0))</f>
        <v>85</v>
      </c>
      <c r="D82" s="10">
        <f>INDEX(Data!O:O,MATCH(Q82,Data!AM:AM,0))</f>
        <v>81.97</v>
      </c>
      <c r="E82">
        <f>INDEX(Data!T:T,MATCH($P82,Data!$AL:$AL,0))</f>
        <v>8</v>
      </c>
      <c r="F82">
        <f>INDEX(Data!P:P,MATCH($P82,Data!$AL:$AL,0))</f>
        <v>500</v>
      </c>
      <c r="G82">
        <f>INDEX(Data!Z:Z,MATCH($P82,Data!$AL:$AL,0))</f>
        <v>48</v>
      </c>
      <c r="H82">
        <f>INDEX(Data!AA:AA,MATCH($P82,Data!$AL:$AL,0))</f>
        <v>1000</v>
      </c>
      <c r="I82" t="str">
        <f>INDEX(Data!AB:AB,MATCH($P82,Data!$AL:$AL,0))</f>
        <v>[0.4, 0.3, 0.2, 0.1]</v>
      </c>
      <c r="J82" t="str">
        <f>INDEX(Data!V:V,MATCH($P82,Data!$AL:$AL,0))</f>
        <v>Adam</v>
      </c>
      <c r="K82" t="str">
        <f>INDEX(Data!W:W,MATCH($P82,Data!$AL:$AL,0))</f>
        <v>mean_squares</v>
      </c>
      <c r="L82" t="str">
        <f>INDEX(Data!X:X,MATCH($P82,Data!$AL:$AL,0))</f>
        <v>gaussian</v>
      </c>
      <c r="M82" t="b">
        <f>INDEX(Data!AD:AD,MATCH($P82,Data!$AL:$AL,0))</f>
        <v>0</v>
      </c>
      <c r="N82" t="b">
        <f>INDEX(Data!AF:AF,MATCH($P82,Data!$AL:$AL,0))</f>
        <v>1</v>
      </c>
      <c r="O82">
        <f>INDEX(Data!Q:Q,MATCH($P82,Data!$AL:$AL,0))</f>
        <v>10</v>
      </c>
      <c r="P82" t="s">
        <v>68</v>
      </c>
      <c r="Q82" s="3" t="str">
        <f t="shared" si="1"/>
        <v>SPCL2024-01-19 19-06-13</v>
      </c>
    </row>
    <row r="83" spans="1:17" x14ac:dyDescent="0.25">
      <c r="A83" s="4">
        <v>82</v>
      </c>
      <c r="B83" s="217" t="s">
        <v>44</v>
      </c>
      <c r="C83" s="36">
        <f>INDEX(Data!M:M,MATCH(Q83,Data!AM:AM,0))</f>
        <v>83.333333330000002</v>
      </c>
      <c r="D83" s="36">
        <f>INDEX(Data!O:O,MATCH(Q83,Data!AM:AM,0))</f>
        <v>80.739999999999995</v>
      </c>
      <c r="E83" s="1">
        <f>INDEX(Data!T:T,MATCH($P83,Data!$AL:$AL,0))</f>
        <v>8</v>
      </c>
      <c r="F83" s="1">
        <f>INDEX(Data!P:P,MATCH($P83,Data!$AL:$AL,0))</f>
        <v>500</v>
      </c>
      <c r="G83" s="1">
        <f>INDEX(Data!Z:Z,MATCH($P83,Data!$AL:$AL,0))</f>
        <v>48</v>
      </c>
      <c r="H83" s="1">
        <f>INDEX(Data!AA:AA,MATCH($P83,Data!$AL:$AL,0))</f>
        <v>1000</v>
      </c>
      <c r="I83" s="1" t="str">
        <f>INDEX(Data!AB:AB,MATCH($P83,Data!$AL:$AL,0))</f>
        <v>[0.4, 0.3, 0.2, 0.1]</v>
      </c>
      <c r="J83" s="1" t="str">
        <f>INDEX(Data!V:V,MATCH($P83,Data!$AL:$AL,0))</f>
        <v>Adam</v>
      </c>
      <c r="K83" s="1" t="str">
        <f>INDEX(Data!W:W,MATCH($P83,Data!$AL:$AL,0))</f>
        <v>mean_squares</v>
      </c>
      <c r="L83" s="1" t="str">
        <f>INDEX(Data!X:X,MATCH($P83,Data!$AL:$AL,0))</f>
        <v>gaussian</v>
      </c>
      <c r="M83" s="1" t="b">
        <f>INDEX(Data!AD:AD,MATCH($P83,Data!$AL:$AL,0))</f>
        <v>0</v>
      </c>
      <c r="N83" s="1" t="b">
        <f>INDEX(Data!AF:AF,MATCH($P83,Data!$AL:$AL,0))</f>
        <v>1</v>
      </c>
      <c r="O83" s="1">
        <f>INDEX(Data!Q:Q,MATCH($P83,Data!$AL:$AL,0))</f>
        <v>10</v>
      </c>
      <c r="P83" s="1" t="s">
        <v>68</v>
      </c>
      <c r="Q83" s="4" t="str">
        <f t="shared" si="1"/>
        <v>SPACL2024-01-19 19-06-13</v>
      </c>
    </row>
    <row r="84" spans="1:17" x14ac:dyDescent="0.25">
      <c r="A84" s="3">
        <v>83</v>
      </c>
      <c r="B84" s="218" t="s">
        <v>40</v>
      </c>
      <c r="C84" s="46">
        <f>INDEX(Data!M:M,MATCH(Q84,Data!AM:AM,0))</f>
        <v>88.75</v>
      </c>
      <c r="D84" s="68">
        <f>INDEX(Data!O:O,MATCH(Q84,Data!AM:AM,0))</f>
        <v>83.93</v>
      </c>
      <c r="E84" s="2">
        <f>INDEX(Data!T:T,MATCH($P84,Data!$AL:$AL,0))</f>
        <v>8</v>
      </c>
      <c r="F84" s="2">
        <f>INDEX(Data!P:P,MATCH($P84,Data!$AL:$AL,0))</f>
        <v>500</v>
      </c>
      <c r="G84" s="2">
        <f>INDEX(Data!Z:Z,MATCH($P84,Data!$AL:$AL,0))</f>
        <v>48</v>
      </c>
      <c r="H84" s="2">
        <f>INDEX(Data!AA:AA,MATCH($P84,Data!$AL:$AL,0))</f>
        <v>1000</v>
      </c>
      <c r="I84" s="2" t="str">
        <f>INDEX(Data!AB:AB,MATCH($P84,Data!$AL:$AL,0))</f>
        <v>[0.1, 0.2, 0.3, 0.4]</v>
      </c>
      <c r="J84" s="2" t="str">
        <f>INDEX(Data!V:V,MATCH($P84,Data!$AL:$AL,0))</f>
        <v>Adam</v>
      </c>
      <c r="K84" s="2" t="str">
        <f>INDEX(Data!W:W,MATCH($P84,Data!$AL:$AL,0))</f>
        <v>cross_entropy</v>
      </c>
      <c r="L84" s="2" t="str">
        <f>INDEX(Data!X:X,MATCH($P84,Data!$AL:$AL,0))</f>
        <v>gaussian</v>
      </c>
      <c r="M84" s="2" t="b">
        <f>INDEX(Data!AD:AD,MATCH($P84,Data!$AL:$AL,0))</f>
        <v>1</v>
      </c>
      <c r="N84" s="2" t="b">
        <f>INDEX(Data!AF:AF,MATCH($P84,Data!$AL:$AL,0))</f>
        <v>1</v>
      </c>
      <c r="O84" s="2">
        <f>INDEX(Data!Q:Q,MATCH($P84,Data!$AL:$AL,0))</f>
        <v>10</v>
      </c>
      <c r="P84" t="s">
        <v>70</v>
      </c>
      <c r="Q84" s="3" t="str">
        <f t="shared" si="1"/>
        <v>NCL2024-01-19 19-34-04</v>
      </c>
    </row>
    <row r="85" spans="1:17" x14ac:dyDescent="0.25">
      <c r="A85" s="3">
        <v>84</v>
      </c>
      <c r="B85" s="216" t="s">
        <v>41</v>
      </c>
      <c r="C85" s="69">
        <f>INDEX(Data!M:M,MATCH(Q85,Data!AM:AM,0))</f>
        <v>89.583333330000002</v>
      </c>
      <c r="D85" s="70">
        <f>INDEX(Data!O:O,MATCH(Q85,Data!AM:AM,0))</f>
        <v>84.44</v>
      </c>
      <c r="E85">
        <f>INDEX(Data!T:T,MATCH($P85,Data!$AL:$AL,0))</f>
        <v>8</v>
      </c>
      <c r="F85">
        <f>INDEX(Data!P:P,MATCH($P85,Data!$AL:$AL,0))</f>
        <v>500</v>
      </c>
      <c r="G85">
        <f>INDEX(Data!Z:Z,MATCH($P85,Data!$AL:$AL,0))</f>
        <v>48</v>
      </c>
      <c r="H85">
        <f>INDEX(Data!AA:AA,MATCH($P85,Data!$AL:$AL,0))</f>
        <v>1000</v>
      </c>
      <c r="I85" t="str">
        <f>INDEX(Data!AB:AB,MATCH($P85,Data!$AL:$AL,0))</f>
        <v>[0.1, 0.2, 0.3, 0.4]</v>
      </c>
      <c r="J85" t="str">
        <f>INDEX(Data!V:V,MATCH($P85,Data!$AL:$AL,0))</f>
        <v>Adam</v>
      </c>
      <c r="K85" t="str">
        <f>INDEX(Data!W:W,MATCH($P85,Data!$AL:$AL,0))</f>
        <v>cross_entropy</v>
      </c>
      <c r="L85" t="str">
        <f>INDEX(Data!X:X,MATCH($P85,Data!$AL:$AL,0))</f>
        <v>gaussian</v>
      </c>
      <c r="M85" t="b">
        <f>INDEX(Data!AD:AD,MATCH($P85,Data!$AL:$AL,0))</f>
        <v>1</v>
      </c>
      <c r="N85" t="b">
        <f>INDEX(Data!AF:AF,MATCH($P85,Data!$AL:$AL,0))</f>
        <v>1</v>
      </c>
      <c r="O85">
        <f>INDEX(Data!Q:Q,MATCH($P85,Data!$AL:$AL,0))</f>
        <v>10</v>
      </c>
      <c r="P85" t="s">
        <v>70</v>
      </c>
      <c r="Q85" s="3" t="str">
        <f t="shared" si="1"/>
        <v>CL2024-01-19 19-34-04</v>
      </c>
    </row>
    <row r="86" spans="1:17" x14ac:dyDescent="0.25">
      <c r="A86" s="3">
        <v>85</v>
      </c>
      <c r="B86" s="216" t="s">
        <v>42</v>
      </c>
      <c r="C86" s="15">
        <f>INDEX(Data!M:M,MATCH(Q86,Data!AM:AM,0))</f>
        <v>91.458333330000002</v>
      </c>
      <c r="D86" s="15">
        <f>INDEX(Data!O:O,MATCH(Q86,Data!AM:AM,0))</f>
        <v>86.66</v>
      </c>
      <c r="E86">
        <f>INDEX(Data!T:T,MATCH($P86,Data!$AL:$AL,0))</f>
        <v>8</v>
      </c>
      <c r="F86">
        <f>INDEX(Data!P:P,MATCH($P86,Data!$AL:$AL,0))</f>
        <v>500</v>
      </c>
      <c r="G86">
        <f>INDEX(Data!Z:Z,MATCH($P86,Data!$AL:$AL,0))</f>
        <v>48</v>
      </c>
      <c r="H86">
        <f>INDEX(Data!AA:AA,MATCH($P86,Data!$AL:$AL,0))</f>
        <v>1000</v>
      </c>
      <c r="I86" t="str">
        <f>INDEX(Data!AB:AB,MATCH($P86,Data!$AL:$AL,0))</f>
        <v>[0.1, 0.2, 0.3, 0.4]</v>
      </c>
      <c r="J86" t="str">
        <f>INDEX(Data!V:V,MATCH($P86,Data!$AL:$AL,0))</f>
        <v>Adam</v>
      </c>
      <c r="K86" t="str">
        <f>INDEX(Data!W:W,MATCH($P86,Data!$AL:$AL,0))</f>
        <v>cross_entropy</v>
      </c>
      <c r="L86" t="str">
        <f>INDEX(Data!X:X,MATCH($P86,Data!$AL:$AL,0))</f>
        <v>gaussian</v>
      </c>
      <c r="M86" t="b">
        <f>INDEX(Data!AD:AD,MATCH($P86,Data!$AL:$AL,0))</f>
        <v>1</v>
      </c>
      <c r="N86" t="b">
        <f>INDEX(Data!AF:AF,MATCH($P86,Data!$AL:$AL,0))</f>
        <v>1</v>
      </c>
      <c r="O86">
        <f>INDEX(Data!Q:Q,MATCH($P86,Data!$AL:$AL,0))</f>
        <v>10</v>
      </c>
      <c r="P86" t="s">
        <v>70</v>
      </c>
      <c r="Q86" s="3" t="str">
        <f t="shared" si="1"/>
        <v>ACL2024-01-19 19-34-04</v>
      </c>
    </row>
    <row r="87" spans="1:17" x14ac:dyDescent="0.25">
      <c r="A87" s="3">
        <v>86</v>
      </c>
      <c r="B87" s="216" t="s">
        <v>43</v>
      </c>
      <c r="C87" s="11">
        <f>INDEX(Data!M:M,MATCH(Q87,Data!AM:AM,0))</f>
        <v>88.75</v>
      </c>
      <c r="D87" s="10">
        <f>INDEX(Data!O:O,MATCH(Q87,Data!AM:AM,0))</f>
        <v>83.94</v>
      </c>
      <c r="E87">
        <f>INDEX(Data!T:T,MATCH($P87,Data!$AL:$AL,0))</f>
        <v>8</v>
      </c>
      <c r="F87">
        <f>INDEX(Data!P:P,MATCH($P87,Data!$AL:$AL,0))</f>
        <v>500</v>
      </c>
      <c r="G87">
        <f>INDEX(Data!Z:Z,MATCH($P87,Data!$AL:$AL,0))</f>
        <v>48</v>
      </c>
      <c r="H87">
        <f>INDEX(Data!AA:AA,MATCH($P87,Data!$AL:$AL,0))</f>
        <v>1000</v>
      </c>
      <c r="I87" t="str">
        <f>INDEX(Data!AB:AB,MATCH($P87,Data!$AL:$AL,0))</f>
        <v>[0.1, 0.2, 0.3, 0.4]</v>
      </c>
      <c r="J87" t="str">
        <f>INDEX(Data!V:V,MATCH($P87,Data!$AL:$AL,0))</f>
        <v>Adam</v>
      </c>
      <c r="K87" t="str">
        <f>INDEX(Data!W:W,MATCH($P87,Data!$AL:$AL,0))</f>
        <v>cross_entropy</v>
      </c>
      <c r="L87" t="str">
        <f>INDEX(Data!X:X,MATCH($P87,Data!$AL:$AL,0))</f>
        <v>gaussian</v>
      </c>
      <c r="M87" t="b">
        <f>INDEX(Data!AD:AD,MATCH($P87,Data!$AL:$AL,0))</f>
        <v>1</v>
      </c>
      <c r="N87" t="b">
        <f>INDEX(Data!AF:AF,MATCH($P87,Data!$AL:$AL,0))</f>
        <v>1</v>
      </c>
      <c r="O87">
        <f>INDEX(Data!Q:Q,MATCH($P87,Data!$AL:$AL,0))</f>
        <v>10</v>
      </c>
      <c r="P87" t="s">
        <v>70</v>
      </c>
      <c r="Q87" s="3" t="str">
        <f t="shared" si="1"/>
        <v>SPCL2024-01-19 19-34-04</v>
      </c>
    </row>
    <row r="88" spans="1:17" x14ac:dyDescent="0.25">
      <c r="A88" s="4">
        <v>87</v>
      </c>
      <c r="B88" s="217" t="s">
        <v>44</v>
      </c>
      <c r="C88" s="36">
        <f>INDEX(Data!M:M,MATCH(Q88,Data!AM:AM,0))</f>
        <v>88.75</v>
      </c>
      <c r="D88" s="36">
        <f>INDEX(Data!O:O,MATCH(Q88,Data!AM:AM,0))</f>
        <v>83.1</v>
      </c>
      <c r="E88" s="1">
        <f>INDEX(Data!T:T,MATCH($P88,Data!$AL:$AL,0))</f>
        <v>8</v>
      </c>
      <c r="F88" s="1">
        <f>INDEX(Data!P:P,MATCH($P88,Data!$AL:$AL,0))</f>
        <v>500</v>
      </c>
      <c r="G88" s="1">
        <f>INDEX(Data!Z:Z,MATCH($P88,Data!$AL:$AL,0))</f>
        <v>48</v>
      </c>
      <c r="H88" s="1">
        <f>INDEX(Data!AA:AA,MATCH($P88,Data!$AL:$AL,0))</f>
        <v>1000</v>
      </c>
      <c r="I88" s="1" t="str">
        <f>INDEX(Data!AB:AB,MATCH($P88,Data!$AL:$AL,0))</f>
        <v>[0.1, 0.2, 0.3, 0.4]</v>
      </c>
      <c r="J88" s="1" t="str">
        <f>INDEX(Data!V:V,MATCH($P88,Data!$AL:$AL,0))</f>
        <v>Adam</v>
      </c>
      <c r="K88" s="1" t="str">
        <f>INDEX(Data!W:W,MATCH($P88,Data!$AL:$AL,0))</f>
        <v>cross_entropy</v>
      </c>
      <c r="L88" s="1" t="str">
        <f>INDEX(Data!X:X,MATCH($P88,Data!$AL:$AL,0))</f>
        <v>gaussian</v>
      </c>
      <c r="M88" s="1" t="b">
        <f>INDEX(Data!AD:AD,MATCH($P88,Data!$AL:$AL,0))</f>
        <v>1</v>
      </c>
      <c r="N88" s="1" t="b">
        <f>INDEX(Data!AF:AF,MATCH($P88,Data!$AL:$AL,0))</f>
        <v>1</v>
      </c>
      <c r="O88" s="1">
        <f>INDEX(Data!Q:Q,MATCH($P88,Data!$AL:$AL,0))</f>
        <v>10</v>
      </c>
      <c r="P88" s="1" t="s">
        <v>70</v>
      </c>
      <c r="Q88" s="4" t="str">
        <f t="shared" si="1"/>
        <v>SPACL2024-01-19 19-34-04</v>
      </c>
    </row>
    <row r="89" spans="1:17" x14ac:dyDescent="0.25">
      <c r="A89" s="3">
        <v>88</v>
      </c>
      <c r="B89" s="218" t="s">
        <v>40</v>
      </c>
      <c r="C89" s="19">
        <f>INDEX(Data!M:M,MATCH(Q89,Data!AM:AM,0))</f>
        <v>91.875</v>
      </c>
      <c r="D89" s="19">
        <f>INDEX(Data!O:O,MATCH(Q89,Data!AM:AM,0))</f>
        <v>85.02</v>
      </c>
      <c r="E89" s="2">
        <f>INDEX(Data!T:T,MATCH($P89,Data!$AL:$AL,0))</f>
        <v>8</v>
      </c>
      <c r="F89" s="2">
        <f>INDEX(Data!P:P,MATCH($P89,Data!$AL:$AL,0))</f>
        <v>500</v>
      </c>
      <c r="G89" s="2">
        <f>INDEX(Data!Z:Z,MATCH($P89,Data!$AL:$AL,0))</f>
        <v>48</v>
      </c>
      <c r="H89" s="2">
        <f>INDEX(Data!AA:AA,MATCH($P89,Data!$AL:$AL,0))</f>
        <v>1000</v>
      </c>
      <c r="I89" s="2" t="str">
        <f>INDEX(Data!AB:AB,MATCH($P89,Data!$AL:$AL,0))</f>
        <v>[0.1, 0.2, 0.3, 0.4]</v>
      </c>
      <c r="J89" s="2" t="str">
        <f>INDEX(Data!V:V,MATCH($P89,Data!$AL:$AL,0))</f>
        <v>Adam</v>
      </c>
      <c r="K89" s="2" t="str">
        <f>INDEX(Data!W:W,MATCH($P89,Data!$AL:$AL,0))</f>
        <v>mean_squares</v>
      </c>
      <c r="L89" s="2" t="str">
        <f>INDEX(Data!X:X,MATCH($P89,Data!$AL:$AL,0))</f>
        <v>gaussian</v>
      </c>
      <c r="M89" s="2" t="b">
        <f>INDEX(Data!AD:AD,MATCH($P89,Data!$AL:$AL,0))</f>
        <v>1</v>
      </c>
      <c r="N89" s="2" t="b">
        <f>INDEX(Data!AF:AF,MATCH($P89,Data!$AL:$AL,0))</f>
        <v>1</v>
      </c>
      <c r="O89" s="2">
        <f>INDEX(Data!Q:Q,MATCH($P89,Data!$AL:$AL,0))</f>
        <v>10</v>
      </c>
      <c r="P89" t="s">
        <v>71</v>
      </c>
      <c r="Q89" s="3" t="str">
        <f t="shared" si="1"/>
        <v>NCL2024-01-19 20-14-07</v>
      </c>
    </row>
    <row r="90" spans="1:17" x14ac:dyDescent="0.25">
      <c r="A90" s="3">
        <v>89</v>
      </c>
      <c r="B90" s="216" t="s">
        <v>41</v>
      </c>
      <c r="C90" s="71">
        <f>INDEX(Data!M:M,MATCH(Q90,Data!AM:AM,0))</f>
        <v>89.375</v>
      </c>
      <c r="D90" s="72">
        <f>INDEX(Data!O:O,MATCH(Q90,Data!AM:AM,0))</f>
        <v>81.03</v>
      </c>
      <c r="E90">
        <f>INDEX(Data!T:T,MATCH($P90,Data!$AL:$AL,0))</f>
        <v>8</v>
      </c>
      <c r="F90">
        <f>INDEX(Data!P:P,MATCH($P90,Data!$AL:$AL,0))</f>
        <v>500</v>
      </c>
      <c r="G90">
        <f>INDEX(Data!Z:Z,MATCH($P90,Data!$AL:$AL,0))</f>
        <v>48</v>
      </c>
      <c r="H90">
        <f>INDEX(Data!AA:AA,MATCH($P90,Data!$AL:$AL,0))</f>
        <v>1000</v>
      </c>
      <c r="I90" t="str">
        <f>INDEX(Data!AB:AB,MATCH($P90,Data!$AL:$AL,0))</f>
        <v>[0.1, 0.2, 0.3, 0.4]</v>
      </c>
      <c r="J90" t="str">
        <f>INDEX(Data!V:V,MATCH($P90,Data!$AL:$AL,0))</f>
        <v>Adam</v>
      </c>
      <c r="K90" t="str">
        <f>INDEX(Data!W:W,MATCH($P90,Data!$AL:$AL,0))</f>
        <v>mean_squares</v>
      </c>
      <c r="L90" t="str">
        <f>INDEX(Data!X:X,MATCH($P90,Data!$AL:$AL,0))</f>
        <v>gaussian</v>
      </c>
      <c r="M90" t="b">
        <f>INDEX(Data!AD:AD,MATCH($P90,Data!$AL:$AL,0))</f>
        <v>1</v>
      </c>
      <c r="N90" t="b">
        <f>INDEX(Data!AF:AF,MATCH($P90,Data!$AL:$AL,0))</f>
        <v>1</v>
      </c>
      <c r="O90">
        <f>INDEX(Data!Q:Q,MATCH($P90,Data!$AL:$AL,0))</f>
        <v>10</v>
      </c>
      <c r="P90" t="s">
        <v>71</v>
      </c>
      <c r="Q90" s="3" t="str">
        <f t="shared" si="1"/>
        <v>CL2024-01-19 20-14-07</v>
      </c>
    </row>
    <row r="91" spans="1:17" x14ac:dyDescent="0.25">
      <c r="A91" s="3">
        <v>90</v>
      </c>
      <c r="B91" s="216" t="s">
        <v>42</v>
      </c>
      <c r="C91" s="10">
        <f>INDEX(Data!M:M,MATCH(Q91,Data!AM:AM,0))</f>
        <v>89.583333330000002</v>
      </c>
      <c r="D91" s="10">
        <f>INDEX(Data!O:O,MATCH(Q91,Data!AM:AM,0))</f>
        <v>82.07</v>
      </c>
      <c r="E91">
        <f>INDEX(Data!T:T,MATCH($P91,Data!$AL:$AL,0))</f>
        <v>8</v>
      </c>
      <c r="F91">
        <f>INDEX(Data!P:P,MATCH($P91,Data!$AL:$AL,0))</f>
        <v>500</v>
      </c>
      <c r="G91">
        <f>INDEX(Data!Z:Z,MATCH($P91,Data!$AL:$AL,0))</f>
        <v>48</v>
      </c>
      <c r="H91">
        <f>INDEX(Data!AA:AA,MATCH($P91,Data!$AL:$AL,0))</f>
        <v>1000</v>
      </c>
      <c r="I91" t="str">
        <f>INDEX(Data!AB:AB,MATCH($P91,Data!$AL:$AL,0))</f>
        <v>[0.1, 0.2, 0.3, 0.4]</v>
      </c>
      <c r="J91" t="str">
        <f>INDEX(Data!V:V,MATCH($P91,Data!$AL:$AL,0))</f>
        <v>Adam</v>
      </c>
      <c r="K91" t="str">
        <f>INDEX(Data!W:W,MATCH($P91,Data!$AL:$AL,0))</f>
        <v>mean_squares</v>
      </c>
      <c r="L91" t="str">
        <f>INDEX(Data!X:X,MATCH($P91,Data!$AL:$AL,0))</f>
        <v>gaussian</v>
      </c>
      <c r="M91" t="b">
        <f>INDEX(Data!AD:AD,MATCH($P91,Data!$AL:$AL,0))</f>
        <v>1</v>
      </c>
      <c r="N91" t="b">
        <f>INDEX(Data!AF:AF,MATCH($P91,Data!$AL:$AL,0))</f>
        <v>1</v>
      </c>
      <c r="O91">
        <f>INDEX(Data!Q:Q,MATCH($P91,Data!$AL:$AL,0))</f>
        <v>10</v>
      </c>
      <c r="P91" t="s">
        <v>71</v>
      </c>
      <c r="Q91" s="3" t="str">
        <f t="shared" si="1"/>
        <v>ACL2024-01-19 20-14-07</v>
      </c>
    </row>
    <row r="92" spans="1:17" x14ac:dyDescent="0.25">
      <c r="A92" s="3">
        <v>91</v>
      </c>
      <c r="B92" s="216" t="s">
        <v>43</v>
      </c>
      <c r="C92" s="11">
        <f>INDEX(Data!M:M,MATCH(Q92,Data!AM:AM,0))</f>
        <v>89.166666669999998</v>
      </c>
      <c r="D92" s="11">
        <f>INDEX(Data!O:O,MATCH(Q92,Data!AM:AM,0))</f>
        <v>79.58</v>
      </c>
      <c r="E92">
        <f>INDEX(Data!T:T,MATCH($P92,Data!$AL:$AL,0))</f>
        <v>8</v>
      </c>
      <c r="F92">
        <f>INDEX(Data!P:P,MATCH($P92,Data!$AL:$AL,0))</f>
        <v>500</v>
      </c>
      <c r="G92">
        <f>INDEX(Data!Z:Z,MATCH($P92,Data!$AL:$AL,0))</f>
        <v>48</v>
      </c>
      <c r="H92">
        <f>INDEX(Data!AA:AA,MATCH($P92,Data!$AL:$AL,0))</f>
        <v>1000</v>
      </c>
      <c r="I92" t="str">
        <f>INDEX(Data!AB:AB,MATCH($P92,Data!$AL:$AL,0))</f>
        <v>[0.1, 0.2, 0.3, 0.4]</v>
      </c>
      <c r="J92" t="str">
        <f>INDEX(Data!V:V,MATCH($P92,Data!$AL:$AL,0))</f>
        <v>Adam</v>
      </c>
      <c r="K92" t="str">
        <f>INDEX(Data!W:W,MATCH($P92,Data!$AL:$AL,0))</f>
        <v>mean_squares</v>
      </c>
      <c r="L92" t="str">
        <f>INDEX(Data!X:X,MATCH($P92,Data!$AL:$AL,0))</f>
        <v>gaussian</v>
      </c>
      <c r="M92" t="b">
        <f>INDEX(Data!AD:AD,MATCH($P92,Data!$AL:$AL,0))</f>
        <v>1</v>
      </c>
      <c r="N92" t="b">
        <f>INDEX(Data!AF:AF,MATCH($P92,Data!$AL:$AL,0))</f>
        <v>1</v>
      </c>
      <c r="O92">
        <f>INDEX(Data!Q:Q,MATCH($P92,Data!$AL:$AL,0))</f>
        <v>10</v>
      </c>
      <c r="P92" t="s">
        <v>71</v>
      </c>
      <c r="Q92" s="3" t="str">
        <f t="shared" si="1"/>
        <v>SPCL2024-01-19 20-14-07</v>
      </c>
    </row>
    <row r="93" spans="1:17" x14ac:dyDescent="0.25">
      <c r="A93" s="4">
        <v>92</v>
      </c>
      <c r="B93" s="217" t="s">
        <v>44</v>
      </c>
      <c r="C93" s="73">
        <f>INDEX(Data!M:M,MATCH(Q93,Data!AM:AM,0))</f>
        <v>90.208333330000002</v>
      </c>
      <c r="D93" s="74">
        <f>INDEX(Data!O:O,MATCH(Q93,Data!AM:AM,0))</f>
        <v>82.58</v>
      </c>
      <c r="E93" s="1">
        <f>INDEX(Data!T:T,MATCH($P93,Data!$AL:$AL,0))</f>
        <v>8</v>
      </c>
      <c r="F93" s="1">
        <f>INDEX(Data!P:P,MATCH($P93,Data!$AL:$AL,0))</f>
        <v>500</v>
      </c>
      <c r="G93" s="1">
        <f>INDEX(Data!Z:Z,MATCH($P93,Data!$AL:$AL,0))</f>
        <v>48</v>
      </c>
      <c r="H93" s="1">
        <f>INDEX(Data!AA:AA,MATCH($P93,Data!$AL:$AL,0))</f>
        <v>1000</v>
      </c>
      <c r="I93" s="1" t="str">
        <f>INDEX(Data!AB:AB,MATCH($P93,Data!$AL:$AL,0))</f>
        <v>[0.1, 0.2, 0.3, 0.4]</v>
      </c>
      <c r="J93" s="1" t="str">
        <f>INDEX(Data!V:V,MATCH($P93,Data!$AL:$AL,0))</f>
        <v>Adam</v>
      </c>
      <c r="K93" s="1" t="str">
        <f>INDEX(Data!W:W,MATCH($P93,Data!$AL:$AL,0))</f>
        <v>mean_squares</v>
      </c>
      <c r="L93" s="1" t="str">
        <f>INDEX(Data!X:X,MATCH($P93,Data!$AL:$AL,0))</f>
        <v>gaussian</v>
      </c>
      <c r="M93" s="1" t="b">
        <f>INDEX(Data!AD:AD,MATCH($P93,Data!$AL:$AL,0))</f>
        <v>1</v>
      </c>
      <c r="N93" s="1" t="b">
        <f>INDEX(Data!AF:AF,MATCH($P93,Data!$AL:$AL,0))</f>
        <v>1</v>
      </c>
      <c r="O93" s="1">
        <f>INDEX(Data!Q:Q,MATCH($P93,Data!$AL:$AL,0))</f>
        <v>10</v>
      </c>
      <c r="P93" s="1" t="s">
        <v>71</v>
      </c>
      <c r="Q93" s="4" t="str">
        <f t="shared" si="1"/>
        <v>SPACL2024-01-19 20-14-07</v>
      </c>
    </row>
    <row r="94" spans="1:17" x14ac:dyDescent="0.25">
      <c r="A94" s="3">
        <v>93</v>
      </c>
      <c r="B94" s="218" t="s">
        <v>40</v>
      </c>
      <c r="C94" s="13">
        <f>INDEX(Data!M:M,MATCH(Q94,Data!AM:AM,0))</f>
        <v>86.041666669999998</v>
      </c>
      <c r="D94" s="75">
        <f>INDEX(Data!O:O,MATCH(Q94,Data!AM:AM,0))</f>
        <v>82.48</v>
      </c>
      <c r="E94" s="2">
        <f>INDEX(Data!T:T,MATCH($P94,Data!$AL:$AL,0))</f>
        <v>8</v>
      </c>
      <c r="F94" s="2">
        <f>INDEX(Data!P:P,MATCH($P94,Data!$AL:$AL,0))</f>
        <v>500</v>
      </c>
      <c r="G94" s="2">
        <f>INDEX(Data!Z:Z,MATCH($P94,Data!$AL:$AL,0))</f>
        <v>48</v>
      </c>
      <c r="H94" s="2">
        <f>INDEX(Data!AA:AA,MATCH($P94,Data!$AL:$AL,0))</f>
        <v>1000</v>
      </c>
      <c r="I94" s="2" t="str">
        <f>INDEX(Data!AB:AB,MATCH($P94,Data!$AL:$AL,0))</f>
        <v>[0.1, 0.2, 0.3, 0.4]</v>
      </c>
      <c r="J94" s="2" t="str">
        <f>INDEX(Data!V:V,MATCH($P94,Data!$AL:$AL,0))</f>
        <v>Adam</v>
      </c>
      <c r="K94" s="2" t="str">
        <f>INDEX(Data!W:W,MATCH($P94,Data!$AL:$AL,0))</f>
        <v>cross_entropy</v>
      </c>
      <c r="L94" s="2" t="str">
        <f>INDEX(Data!X:X,MATCH($P94,Data!$AL:$AL,0))</f>
        <v>gaussian</v>
      </c>
      <c r="M94" s="2" t="b">
        <f>INDEX(Data!AD:AD,MATCH($P94,Data!$AL:$AL,0))</f>
        <v>0</v>
      </c>
      <c r="N94" s="2" t="b">
        <f>INDEX(Data!AF:AF,MATCH($P94,Data!$AL:$AL,0))</f>
        <v>1</v>
      </c>
      <c r="O94" s="2">
        <f>INDEX(Data!Q:Q,MATCH($P94,Data!$AL:$AL,0))</f>
        <v>10</v>
      </c>
      <c r="P94" t="s">
        <v>72</v>
      </c>
      <c r="Q94" s="3" t="str">
        <f t="shared" si="1"/>
        <v>NCL2024-01-19 20-10-33</v>
      </c>
    </row>
    <row r="95" spans="1:17" x14ac:dyDescent="0.25">
      <c r="A95" s="3">
        <v>94</v>
      </c>
      <c r="B95" s="216" t="s">
        <v>41</v>
      </c>
      <c r="C95" s="76">
        <f>INDEX(Data!M:M,MATCH(Q95,Data!AM:AM,0))</f>
        <v>85.416666669999998</v>
      </c>
      <c r="D95" s="10">
        <f>INDEX(Data!O:O,MATCH(Q95,Data!AM:AM,0))</f>
        <v>82.93</v>
      </c>
      <c r="E95">
        <f>INDEX(Data!T:T,MATCH($P95,Data!$AL:$AL,0))</f>
        <v>8</v>
      </c>
      <c r="F95">
        <f>INDEX(Data!P:P,MATCH($P95,Data!$AL:$AL,0))</f>
        <v>500</v>
      </c>
      <c r="G95">
        <f>INDEX(Data!Z:Z,MATCH($P95,Data!$AL:$AL,0))</f>
        <v>48</v>
      </c>
      <c r="H95">
        <f>INDEX(Data!AA:AA,MATCH($P95,Data!$AL:$AL,0))</f>
        <v>1000</v>
      </c>
      <c r="I95" t="str">
        <f>INDEX(Data!AB:AB,MATCH($P95,Data!$AL:$AL,0))</f>
        <v>[0.1, 0.2, 0.3, 0.4]</v>
      </c>
      <c r="J95" t="str">
        <f>INDEX(Data!V:V,MATCH($P95,Data!$AL:$AL,0))</f>
        <v>Adam</v>
      </c>
      <c r="K95" t="str">
        <f>INDEX(Data!W:W,MATCH($P95,Data!$AL:$AL,0))</f>
        <v>cross_entropy</v>
      </c>
      <c r="L95" t="str">
        <f>INDEX(Data!X:X,MATCH($P95,Data!$AL:$AL,0))</f>
        <v>gaussian</v>
      </c>
      <c r="M95" t="b">
        <f>INDEX(Data!AD:AD,MATCH($P95,Data!$AL:$AL,0))</f>
        <v>0</v>
      </c>
      <c r="N95" t="b">
        <f>INDEX(Data!AF:AF,MATCH($P95,Data!$AL:$AL,0))</f>
        <v>1</v>
      </c>
      <c r="O95">
        <f>INDEX(Data!Q:Q,MATCH($P95,Data!$AL:$AL,0))</f>
        <v>10</v>
      </c>
      <c r="P95" t="s">
        <v>72</v>
      </c>
      <c r="Q95" s="3" t="str">
        <f t="shared" si="1"/>
        <v>CL2024-01-19 20-10-33</v>
      </c>
    </row>
    <row r="96" spans="1:17" x14ac:dyDescent="0.25">
      <c r="A96" s="3">
        <v>95</v>
      </c>
      <c r="B96" s="216" t="s">
        <v>42</v>
      </c>
      <c r="C96" s="15">
        <f>INDEX(Data!M:M,MATCH(Q96,Data!AM:AM,0))</f>
        <v>94.166666669999998</v>
      </c>
      <c r="D96" s="15">
        <f>INDEX(Data!O:O,MATCH(Q96,Data!AM:AM,0))</f>
        <v>87.38</v>
      </c>
      <c r="E96">
        <f>INDEX(Data!T:T,MATCH($P96,Data!$AL:$AL,0))</f>
        <v>8</v>
      </c>
      <c r="F96">
        <f>INDEX(Data!P:P,MATCH($P96,Data!$AL:$AL,0))</f>
        <v>500</v>
      </c>
      <c r="G96">
        <f>INDEX(Data!Z:Z,MATCH($P96,Data!$AL:$AL,0))</f>
        <v>48</v>
      </c>
      <c r="H96">
        <f>INDEX(Data!AA:AA,MATCH($P96,Data!$AL:$AL,0))</f>
        <v>1000</v>
      </c>
      <c r="I96" t="str">
        <f>INDEX(Data!AB:AB,MATCH($P96,Data!$AL:$AL,0))</f>
        <v>[0.1, 0.2, 0.3, 0.4]</v>
      </c>
      <c r="J96" t="str">
        <f>INDEX(Data!V:V,MATCH($P96,Data!$AL:$AL,0))</f>
        <v>Adam</v>
      </c>
      <c r="K96" t="str">
        <f>INDEX(Data!W:W,MATCH($P96,Data!$AL:$AL,0))</f>
        <v>cross_entropy</v>
      </c>
      <c r="L96" t="str">
        <f>INDEX(Data!X:X,MATCH($P96,Data!$AL:$AL,0))</f>
        <v>gaussian</v>
      </c>
      <c r="M96" t="b">
        <f>INDEX(Data!AD:AD,MATCH($P96,Data!$AL:$AL,0))</f>
        <v>0</v>
      </c>
      <c r="N96" t="b">
        <f>INDEX(Data!AF:AF,MATCH($P96,Data!$AL:$AL,0))</f>
        <v>1</v>
      </c>
      <c r="O96">
        <f>INDEX(Data!Q:Q,MATCH($P96,Data!$AL:$AL,0))</f>
        <v>10</v>
      </c>
      <c r="P96" t="s">
        <v>72</v>
      </c>
      <c r="Q96" s="3" t="str">
        <f t="shared" si="1"/>
        <v>ACL2024-01-19 20-10-33</v>
      </c>
    </row>
    <row r="97" spans="1:17" x14ac:dyDescent="0.25">
      <c r="A97" s="3">
        <v>96</v>
      </c>
      <c r="B97" s="216" t="s">
        <v>43</v>
      </c>
      <c r="C97" s="77">
        <f>INDEX(Data!M:M,MATCH(Q97,Data!AM:AM,0))</f>
        <v>86.25</v>
      </c>
      <c r="D97" s="78">
        <f>INDEX(Data!O:O,MATCH(Q97,Data!AM:AM,0))</f>
        <v>83.88</v>
      </c>
      <c r="E97">
        <f>INDEX(Data!T:T,MATCH($P97,Data!$AL:$AL,0))</f>
        <v>8</v>
      </c>
      <c r="F97">
        <f>INDEX(Data!P:P,MATCH($P97,Data!$AL:$AL,0))</f>
        <v>500</v>
      </c>
      <c r="G97">
        <f>INDEX(Data!Z:Z,MATCH($P97,Data!$AL:$AL,0))</f>
        <v>48</v>
      </c>
      <c r="H97">
        <f>INDEX(Data!AA:AA,MATCH($P97,Data!$AL:$AL,0))</f>
        <v>1000</v>
      </c>
      <c r="I97" t="str">
        <f>INDEX(Data!AB:AB,MATCH($P97,Data!$AL:$AL,0))</f>
        <v>[0.1, 0.2, 0.3, 0.4]</v>
      </c>
      <c r="J97" t="str">
        <f>INDEX(Data!V:V,MATCH($P97,Data!$AL:$AL,0))</f>
        <v>Adam</v>
      </c>
      <c r="K97" t="str">
        <f>INDEX(Data!W:W,MATCH($P97,Data!$AL:$AL,0))</f>
        <v>cross_entropy</v>
      </c>
      <c r="L97" t="str">
        <f>INDEX(Data!X:X,MATCH($P97,Data!$AL:$AL,0))</f>
        <v>gaussian</v>
      </c>
      <c r="M97" t="b">
        <f>INDEX(Data!AD:AD,MATCH($P97,Data!$AL:$AL,0))</f>
        <v>0</v>
      </c>
      <c r="N97" t="b">
        <f>INDEX(Data!AF:AF,MATCH($P97,Data!$AL:$AL,0))</f>
        <v>1</v>
      </c>
      <c r="O97">
        <f>INDEX(Data!Q:Q,MATCH($P97,Data!$AL:$AL,0))</f>
        <v>10</v>
      </c>
      <c r="P97" t="s">
        <v>72</v>
      </c>
      <c r="Q97" s="3" t="str">
        <f t="shared" si="1"/>
        <v>SPCL2024-01-19 20-10-33</v>
      </c>
    </row>
    <row r="98" spans="1:17" x14ac:dyDescent="0.25">
      <c r="A98" s="4">
        <v>97</v>
      </c>
      <c r="B98" s="217" t="s">
        <v>44</v>
      </c>
      <c r="C98" s="36">
        <f>INDEX(Data!M:M,MATCH(Q98,Data!AM:AM,0))</f>
        <v>78.75</v>
      </c>
      <c r="D98" s="36">
        <f>INDEX(Data!O:O,MATCH(Q98,Data!AM:AM,0))</f>
        <v>78.73</v>
      </c>
      <c r="E98" s="1">
        <f>INDEX(Data!T:T,MATCH($P98,Data!$AL:$AL,0))</f>
        <v>8</v>
      </c>
      <c r="F98" s="1">
        <f>INDEX(Data!P:P,MATCH($P98,Data!$AL:$AL,0))</f>
        <v>500</v>
      </c>
      <c r="G98" s="1">
        <f>INDEX(Data!Z:Z,MATCH($P98,Data!$AL:$AL,0))</f>
        <v>48</v>
      </c>
      <c r="H98" s="1">
        <f>INDEX(Data!AA:AA,MATCH($P98,Data!$AL:$AL,0))</f>
        <v>1000</v>
      </c>
      <c r="I98" s="1" t="str">
        <f>INDEX(Data!AB:AB,MATCH($P98,Data!$AL:$AL,0))</f>
        <v>[0.1, 0.2, 0.3, 0.4]</v>
      </c>
      <c r="J98" s="1" t="str">
        <f>INDEX(Data!V:V,MATCH($P98,Data!$AL:$AL,0))</f>
        <v>Adam</v>
      </c>
      <c r="K98" s="1" t="str">
        <f>INDEX(Data!W:W,MATCH($P98,Data!$AL:$AL,0))</f>
        <v>cross_entropy</v>
      </c>
      <c r="L98" s="1" t="str">
        <f>INDEX(Data!X:X,MATCH($P98,Data!$AL:$AL,0))</f>
        <v>gaussian</v>
      </c>
      <c r="M98" s="1" t="b">
        <f>INDEX(Data!AD:AD,MATCH($P98,Data!$AL:$AL,0))</f>
        <v>0</v>
      </c>
      <c r="N98" s="1" t="b">
        <f>INDEX(Data!AF:AF,MATCH($P98,Data!$AL:$AL,0))</f>
        <v>1</v>
      </c>
      <c r="O98" s="1">
        <f>INDEX(Data!Q:Q,MATCH($P98,Data!$AL:$AL,0))</f>
        <v>10</v>
      </c>
      <c r="P98" s="1" t="s">
        <v>72</v>
      </c>
      <c r="Q98" s="4" t="str">
        <f t="shared" si="1"/>
        <v>SPACL2024-01-19 20-10-33</v>
      </c>
    </row>
    <row r="99" spans="1:17" x14ac:dyDescent="0.25">
      <c r="A99" s="3">
        <v>98</v>
      </c>
      <c r="B99" s="218" t="s">
        <v>40</v>
      </c>
      <c r="C99" s="79">
        <f>INDEX(Data!M:M,MATCH(Q99,Data!AM:AM,0))</f>
        <v>87.291666669999998</v>
      </c>
      <c r="D99" s="80">
        <f>INDEX(Data!O:O,MATCH(Q99,Data!AM:AM,0))</f>
        <v>84</v>
      </c>
      <c r="E99" s="2">
        <f>INDEX(Data!T:T,MATCH($P99,Data!$AL:$AL,0))</f>
        <v>8</v>
      </c>
      <c r="F99" s="2">
        <f>INDEX(Data!P:P,MATCH($P99,Data!$AL:$AL,0))</f>
        <v>500</v>
      </c>
      <c r="G99" s="2">
        <f>INDEX(Data!Z:Z,MATCH($P99,Data!$AL:$AL,0))</f>
        <v>48</v>
      </c>
      <c r="H99" s="2">
        <f>INDEX(Data!AA:AA,MATCH($P99,Data!$AL:$AL,0))</f>
        <v>1000</v>
      </c>
      <c r="I99" s="2" t="str">
        <f>INDEX(Data!AB:AB,MATCH($P99,Data!$AL:$AL,0))</f>
        <v>[0.1, 0.2, 0.3, 0.4]</v>
      </c>
      <c r="J99" s="2" t="str">
        <f>INDEX(Data!V:V,MATCH($P99,Data!$AL:$AL,0))</f>
        <v>Adam</v>
      </c>
      <c r="K99" s="2" t="str">
        <f>INDEX(Data!W:W,MATCH($P99,Data!$AL:$AL,0))</f>
        <v>mean_squares</v>
      </c>
      <c r="L99" s="2" t="str">
        <f>INDEX(Data!X:X,MATCH($P99,Data!$AL:$AL,0))</f>
        <v>gaussian</v>
      </c>
      <c r="M99" s="2" t="b">
        <f>INDEX(Data!AD:AD,MATCH($P99,Data!$AL:$AL,0))</f>
        <v>0</v>
      </c>
      <c r="N99" s="2" t="b">
        <f>INDEX(Data!AF:AF,MATCH($P99,Data!$AL:$AL,0))</f>
        <v>1</v>
      </c>
      <c r="O99" s="2">
        <f>INDEX(Data!Q:Q,MATCH($P99,Data!$AL:$AL,0))</f>
        <v>10</v>
      </c>
      <c r="P99" t="s">
        <v>73</v>
      </c>
      <c r="Q99" s="3" t="str">
        <f t="shared" si="1"/>
        <v>NCL2024-01-19 21-19-33</v>
      </c>
    </row>
    <row r="100" spans="1:17" x14ac:dyDescent="0.25">
      <c r="A100" s="3">
        <v>99</v>
      </c>
      <c r="B100" s="216" t="s">
        <v>41</v>
      </c>
      <c r="C100" s="11">
        <f>INDEX(Data!M:M,MATCH(Q100,Data!AM:AM,0))</f>
        <v>80.208333330000002</v>
      </c>
      <c r="D100" s="11">
        <f>INDEX(Data!O:O,MATCH(Q100,Data!AM:AM,0))</f>
        <v>78.31</v>
      </c>
      <c r="E100">
        <f>INDEX(Data!T:T,MATCH($P100,Data!$AL:$AL,0))</f>
        <v>8</v>
      </c>
      <c r="F100">
        <f>INDEX(Data!P:P,MATCH($P100,Data!$AL:$AL,0))</f>
        <v>500</v>
      </c>
      <c r="G100">
        <f>INDEX(Data!Z:Z,MATCH($P100,Data!$AL:$AL,0))</f>
        <v>48</v>
      </c>
      <c r="H100">
        <f>INDEX(Data!AA:AA,MATCH($P100,Data!$AL:$AL,0))</f>
        <v>1000</v>
      </c>
      <c r="I100" t="str">
        <f>INDEX(Data!AB:AB,MATCH($P100,Data!$AL:$AL,0))</f>
        <v>[0.1, 0.2, 0.3, 0.4]</v>
      </c>
      <c r="J100" t="str">
        <f>INDEX(Data!V:V,MATCH($P100,Data!$AL:$AL,0))</f>
        <v>Adam</v>
      </c>
      <c r="K100" t="str">
        <f>INDEX(Data!W:W,MATCH($P100,Data!$AL:$AL,0))</f>
        <v>mean_squares</v>
      </c>
      <c r="L100" t="str">
        <f>INDEX(Data!X:X,MATCH($P100,Data!$AL:$AL,0))</f>
        <v>gaussian</v>
      </c>
      <c r="M100" t="b">
        <f>INDEX(Data!AD:AD,MATCH($P100,Data!$AL:$AL,0))</f>
        <v>0</v>
      </c>
      <c r="N100" t="b">
        <f>INDEX(Data!AF:AF,MATCH($P100,Data!$AL:$AL,0))</f>
        <v>1</v>
      </c>
      <c r="O100">
        <f>INDEX(Data!Q:Q,MATCH($P100,Data!$AL:$AL,0))</f>
        <v>10</v>
      </c>
      <c r="P100" t="s">
        <v>73</v>
      </c>
      <c r="Q100" s="3" t="str">
        <f t="shared" si="1"/>
        <v>CL2024-01-19 21-19-33</v>
      </c>
    </row>
    <row r="101" spans="1:17" x14ac:dyDescent="0.25">
      <c r="A101" s="3">
        <v>100</v>
      </c>
      <c r="B101" s="216" t="s">
        <v>42</v>
      </c>
      <c r="C101" s="15">
        <f>INDEX(Data!M:M,MATCH(Q101,Data!AM:AM,0))</f>
        <v>88.125</v>
      </c>
      <c r="D101" s="15">
        <f>INDEX(Data!O:O,MATCH(Q101,Data!AM:AM,0))</f>
        <v>85.26</v>
      </c>
      <c r="E101">
        <f>INDEX(Data!T:T,MATCH($P101,Data!$AL:$AL,0))</f>
        <v>8</v>
      </c>
      <c r="F101">
        <f>INDEX(Data!P:P,MATCH($P101,Data!$AL:$AL,0))</f>
        <v>500</v>
      </c>
      <c r="G101">
        <f>INDEX(Data!Z:Z,MATCH($P101,Data!$AL:$AL,0))</f>
        <v>48</v>
      </c>
      <c r="H101">
        <f>INDEX(Data!AA:AA,MATCH($P101,Data!$AL:$AL,0))</f>
        <v>1000</v>
      </c>
      <c r="I101" t="str">
        <f>INDEX(Data!AB:AB,MATCH($P101,Data!$AL:$AL,0))</f>
        <v>[0.1, 0.2, 0.3, 0.4]</v>
      </c>
      <c r="J101" t="str">
        <f>INDEX(Data!V:V,MATCH($P101,Data!$AL:$AL,0))</f>
        <v>Adam</v>
      </c>
      <c r="K101" t="str">
        <f>INDEX(Data!W:W,MATCH($P101,Data!$AL:$AL,0))</f>
        <v>mean_squares</v>
      </c>
      <c r="L101" t="str">
        <f>INDEX(Data!X:X,MATCH($P101,Data!$AL:$AL,0))</f>
        <v>gaussian</v>
      </c>
      <c r="M101" t="b">
        <f>INDEX(Data!AD:AD,MATCH($P101,Data!$AL:$AL,0))</f>
        <v>0</v>
      </c>
      <c r="N101" t="b">
        <f>INDEX(Data!AF:AF,MATCH($P101,Data!$AL:$AL,0))</f>
        <v>1</v>
      </c>
      <c r="O101">
        <f>INDEX(Data!Q:Q,MATCH($P101,Data!$AL:$AL,0))</f>
        <v>10</v>
      </c>
      <c r="P101" t="s">
        <v>73</v>
      </c>
      <c r="Q101" s="3" t="str">
        <f t="shared" si="1"/>
        <v>ACL2024-01-19 21-19-33</v>
      </c>
    </row>
    <row r="102" spans="1:17" x14ac:dyDescent="0.25">
      <c r="A102" s="3">
        <v>101</v>
      </c>
      <c r="B102" s="216" t="s">
        <v>43</v>
      </c>
      <c r="C102" s="10">
        <f>INDEX(Data!M:M,MATCH(Q102,Data!AM:AM,0))</f>
        <v>83.333333330000002</v>
      </c>
      <c r="D102" s="10">
        <f>INDEX(Data!O:O,MATCH(Q102,Data!AM:AM,0))</f>
        <v>80.3</v>
      </c>
      <c r="E102">
        <f>INDEX(Data!T:T,MATCH($P102,Data!$AL:$AL,0))</f>
        <v>8</v>
      </c>
      <c r="F102">
        <f>INDEX(Data!P:P,MATCH($P102,Data!$AL:$AL,0))</f>
        <v>500</v>
      </c>
      <c r="G102">
        <f>INDEX(Data!Z:Z,MATCH($P102,Data!$AL:$AL,0))</f>
        <v>48</v>
      </c>
      <c r="H102">
        <f>INDEX(Data!AA:AA,MATCH($P102,Data!$AL:$AL,0))</f>
        <v>1000</v>
      </c>
      <c r="I102" t="str">
        <f>INDEX(Data!AB:AB,MATCH($P102,Data!$AL:$AL,0))</f>
        <v>[0.1, 0.2, 0.3, 0.4]</v>
      </c>
      <c r="J102" t="str">
        <f>INDEX(Data!V:V,MATCH($P102,Data!$AL:$AL,0))</f>
        <v>Adam</v>
      </c>
      <c r="K102" t="str">
        <f>INDEX(Data!W:W,MATCH($P102,Data!$AL:$AL,0))</f>
        <v>mean_squares</v>
      </c>
      <c r="L102" t="str">
        <f>INDEX(Data!X:X,MATCH($P102,Data!$AL:$AL,0))</f>
        <v>gaussian</v>
      </c>
      <c r="M102" t="b">
        <f>INDEX(Data!AD:AD,MATCH($P102,Data!$AL:$AL,0))</f>
        <v>0</v>
      </c>
      <c r="N102" t="b">
        <f>INDEX(Data!AF:AF,MATCH($P102,Data!$AL:$AL,0))</f>
        <v>1</v>
      </c>
      <c r="O102">
        <f>INDEX(Data!Q:Q,MATCH($P102,Data!$AL:$AL,0))</f>
        <v>10</v>
      </c>
      <c r="P102" t="s">
        <v>73</v>
      </c>
      <c r="Q102" s="3" t="str">
        <f t="shared" si="1"/>
        <v>SPCL2024-01-19 21-19-33</v>
      </c>
    </row>
    <row r="103" spans="1:17" x14ac:dyDescent="0.25">
      <c r="A103" s="4">
        <v>102</v>
      </c>
      <c r="B103" s="217" t="s">
        <v>44</v>
      </c>
      <c r="C103" s="81">
        <f>INDEX(Data!M:M,MATCH(Q103,Data!AM:AM,0))</f>
        <v>80.833333330000002</v>
      </c>
      <c r="D103" s="82">
        <f>INDEX(Data!O:O,MATCH(Q103,Data!AM:AM,0))</f>
        <v>79.05</v>
      </c>
      <c r="E103" s="1">
        <f>INDEX(Data!T:T,MATCH($P103,Data!$AL:$AL,0))</f>
        <v>8</v>
      </c>
      <c r="F103" s="1">
        <f>INDEX(Data!P:P,MATCH($P103,Data!$AL:$AL,0))</f>
        <v>500</v>
      </c>
      <c r="G103" s="1">
        <f>INDEX(Data!Z:Z,MATCH($P103,Data!$AL:$AL,0))</f>
        <v>48</v>
      </c>
      <c r="H103" s="1">
        <f>INDEX(Data!AA:AA,MATCH($P103,Data!$AL:$AL,0))</f>
        <v>1000</v>
      </c>
      <c r="I103" s="1" t="str">
        <f>INDEX(Data!AB:AB,MATCH($P103,Data!$AL:$AL,0))</f>
        <v>[0.1, 0.2, 0.3, 0.4]</v>
      </c>
      <c r="J103" s="1" t="str">
        <f>INDEX(Data!V:V,MATCH($P103,Data!$AL:$AL,0))</f>
        <v>Adam</v>
      </c>
      <c r="K103" s="1" t="str">
        <f>INDEX(Data!W:W,MATCH($P103,Data!$AL:$AL,0))</f>
        <v>mean_squares</v>
      </c>
      <c r="L103" s="1" t="str">
        <f>INDEX(Data!X:X,MATCH($P103,Data!$AL:$AL,0))</f>
        <v>gaussian</v>
      </c>
      <c r="M103" s="1" t="b">
        <f>INDEX(Data!AD:AD,MATCH($P103,Data!$AL:$AL,0))</f>
        <v>0</v>
      </c>
      <c r="N103" s="1" t="b">
        <f>INDEX(Data!AF:AF,MATCH($P103,Data!$AL:$AL,0))</f>
        <v>1</v>
      </c>
      <c r="O103" s="1">
        <f>INDEX(Data!Q:Q,MATCH($P103,Data!$AL:$AL,0))</f>
        <v>10</v>
      </c>
      <c r="P103" s="1" t="s">
        <v>73</v>
      </c>
      <c r="Q103" s="4" t="str">
        <f t="shared" si="1"/>
        <v>SPACL2024-01-19 21-19-33</v>
      </c>
    </row>
    <row r="104" spans="1:17" x14ac:dyDescent="0.25">
      <c r="A104" s="3">
        <v>103</v>
      </c>
      <c r="B104" s="218" t="s">
        <v>40</v>
      </c>
      <c r="C104" s="19">
        <f>INDEX(Data!M:M,MATCH(Q104,Data!AM:AM,0))</f>
        <v>95.4166666666666</v>
      </c>
      <c r="D104" s="13">
        <f>INDEX(Data!O:O,MATCH(Q104,Data!AM:AM,0))</f>
        <v>86.45</v>
      </c>
      <c r="E104" s="2">
        <f>INDEX(Data!T:T,MATCH($P104,Data!$AL:$AL,0))</f>
        <v>8</v>
      </c>
      <c r="F104" s="2">
        <f>INDEX(Data!P:P,MATCH($P104,Data!$AL:$AL,0))</f>
        <v>500</v>
      </c>
      <c r="G104" s="2">
        <f>INDEX(Data!Z:Z,MATCH($P104,Data!$AL:$AL,0))</f>
        <v>48</v>
      </c>
      <c r="H104" s="2">
        <f>INDEX(Data!AA:AA,MATCH($P104,Data!$AL:$AL,0))</f>
        <v>1000</v>
      </c>
      <c r="I104" s="2" t="str">
        <f>INDEX(Data!AB:AB,MATCH($P104,Data!$AL:$AL,0))</f>
        <v>[0.4, 0.3, 0.2, 0.1]</v>
      </c>
      <c r="J104" s="2" t="str">
        <f>INDEX(Data!V:V,MATCH($P104,Data!$AL:$AL,0))</f>
        <v>Adam</v>
      </c>
      <c r="K104" s="2" t="str">
        <f>INDEX(Data!W:W,MATCH($P104,Data!$AL:$AL,0))</f>
        <v>mean_squares</v>
      </c>
      <c r="L104" s="2" t="str">
        <f>INDEX(Data!X:X,MATCH($P104,Data!$AL:$AL,0))</f>
        <v>gaussian</v>
      </c>
      <c r="M104" s="2" t="b">
        <f>INDEX(Data!AD:AD,MATCH($P104,Data!$AL:$AL,0))</f>
        <v>1</v>
      </c>
      <c r="N104" s="2" t="b">
        <f>INDEX(Data!AF:AF,MATCH($P104,Data!$AL:$AL,0))</f>
        <v>1</v>
      </c>
      <c r="O104" s="2">
        <f>INDEX(Data!Q:Q,MATCH($P104,Data!$AL:$AL,0))</f>
        <v>10</v>
      </c>
      <c r="P104" t="s">
        <v>79</v>
      </c>
      <c r="Q104" s="3" t="str">
        <f t="shared" si="1"/>
        <v>NCL2024-01-20 10-14-53</v>
      </c>
    </row>
    <row r="105" spans="1:17" x14ac:dyDescent="0.25">
      <c r="A105" s="3">
        <v>104</v>
      </c>
      <c r="B105" s="216" t="s">
        <v>41</v>
      </c>
      <c r="C105" s="11">
        <f>INDEX(Data!M:M,MATCH(Q105,Data!AM:AM,0))</f>
        <v>91.6666666666666</v>
      </c>
      <c r="D105" s="11">
        <f>INDEX(Data!O:O,MATCH(Q105,Data!AM:AM,0))</f>
        <v>83.789999999999907</v>
      </c>
      <c r="E105">
        <f>INDEX(Data!T:T,MATCH($P105,Data!$AL:$AL,0))</f>
        <v>8</v>
      </c>
      <c r="F105">
        <f>INDEX(Data!P:P,MATCH($P105,Data!$AL:$AL,0))</f>
        <v>500</v>
      </c>
      <c r="G105">
        <f>INDEX(Data!Z:Z,MATCH($P105,Data!$AL:$AL,0))</f>
        <v>48</v>
      </c>
      <c r="H105">
        <f>INDEX(Data!AA:AA,MATCH($P105,Data!$AL:$AL,0))</f>
        <v>1000</v>
      </c>
      <c r="I105" t="str">
        <f>INDEX(Data!AB:AB,MATCH($P105,Data!$AL:$AL,0))</f>
        <v>[0.4, 0.3, 0.2, 0.1]</v>
      </c>
      <c r="J105" t="str">
        <f>INDEX(Data!V:V,MATCH($P105,Data!$AL:$AL,0))</f>
        <v>Adam</v>
      </c>
      <c r="K105" t="str">
        <f>INDEX(Data!W:W,MATCH($P105,Data!$AL:$AL,0))</f>
        <v>mean_squares</v>
      </c>
      <c r="L105" t="str">
        <f>INDEX(Data!X:X,MATCH($P105,Data!$AL:$AL,0))</f>
        <v>gaussian</v>
      </c>
      <c r="M105" t="b">
        <f>INDEX(Data!AD:AD,MATCH($P105,Data!$AL:$AL,0))</f>
        <v>1</v>
      </c>
      <c r="N105" t="b">
        <f>INDEX(Data!AF:AF,MATCH($P105,Data!$AL:$AL,0))</f>
        <v>1</v>
      </c>
      <c r="O105">
        <f>INDEX(Data!Q:Q,MATCH($P105,Data!$AL:$AL,0))</f>
        <v>10</v>
      </c>
      <c r="P105" t="s">
        <v>79</v>
      </c>
      <c r="Q105" s="3" t="str">
        <f t="shared" si="1"/>
        <v>CL2024-01-20 10-14-53</v>
      </c>
    </row>
    <row r="106" spans="1:17" x14ac:dyDescent="0.25">
      <c r="A106" s="3">
        <v>105</v>
      </c>
      <c r="B106" s="216" t="s">
        <v>42</v>
      </c>
      <c r="C106" s="10">
        <f>INDEX(Data!M:M,MATCH(Q106,Data!AM:AM,0))</f>
        <v>94.7916666666666</v>
      </c>
      <c r="D106" s="15">
        <f>INDEX(Data!O:O,MATCH(Q106,Data!AM:AM,0))</f>
        <v>86.84</v>
      </c>
      <c r="E106">
        <f>INDEX(Data!T:T,MATCH($P106,Data!$AL:$AL,0))</f>
        <v>8</v>
      </c>
      <c r="F106">
        <f>INDEX(Data!P:P,MATCH($P106,Data!$AL:$AL,0))</f>
        <v>500</v>
      </c>
      <c r="G106">
        <f>INDEX(Data!Z:Z,MATCH($P106,Data!$AL:$AL,0))</f>
        <v>48</v>
      </c>
      <c r="H106">
        <f>INDEX(Data!AA:AA,MATCH($P106,Data!$AL:$AL,0))</f>
        <v>1000</v>
      </c>
      <c r="I106" t="str">
        <f>INDEX(Data!AB:AB,MATCH($P106,Data!$AL:$AL,0))</f>
        <v>[0.4, 0.3, 0.2, 0.1]</v>
      </c>
      <c r="J106" t="str">
        <f>INDEX(Data!V:V,MATCH($P106,Data!$AL:$AL,0))</f>
        <v>Adam</v>
      </c>
      <c r="K106" t="str">
        <f>INDEX(Data!W:W,MATCH($P106,Data!$AL:$AL,0))</f>
        <v>mean_squares</v>
      </c>
      <c r="L106" t="str">
        <f>INDEX(Data!X:X,MATCH($P106,Data!$AL:$AL,0))</f>
        <v>gaussian</v>
      </c>
      <c r="M106" t="b">
        <f>INDEX(Data!AD:AD,MATCH($P106,Data!$AL:$AL,0))</f>
        <v>1</v>
      </c>
      <c r="N106" t="b">
        <f>INDEX(Data!AF:AF,MATCH($P106,Data!$AL:$AL,0))</f>
        <v>1</v>
      </c>
      <c r="O106">
        <f>INDEX(Data!Q:Q,MATCH($P106,Data!$AL:$AL,0))</f>
        <v>10</v>
      </c>
      <c r="P106" t="s">
        <v>79</v>
      </c>
      <c r="Q106" s="3" t="str">
        <f t="shared" si="1"/>
        <v>ACL2024-01-20 10-14-53</v>
      </c>
    </row>
    <row r="107" spans="1:17" x14ac:dyDescent="0.25">
      <c r="A107" s="3">
        <v>106</v>
      </c>
      <c r="B107" s="216" t="s">
        <v>43</v>
      </c>
      <c r="C107" s="15">
        <f>INDEX(Data!M:M,MATCH(Q107,Data!AM:AM,0))</f>
        <v>95.4166666666666</v>
      </c>
      <c r="D107" s="83">
        <f>INDEX(Data!O:O,MATCH(Q107,Data!AM:AM,0))</f>
        <v>86.789999999999907</v>
      </c>
      <c r="E107">
        <f>INDEX(Data!T:T,MATCH($P107,Data!$AL:$AL,0))</f>
        <v>8</v>
      </c>
      <c r="F107">
        <f>INDEX(Data!P:P,MATCH($P107,Data!$AL:$AL,0))</f>
        <v>500</v>
      </c>
      <c r="G107">
        <f>INDEX(Data!Z:Z,MATCH($P107,Data!$AL:$AL,0))</f>
        <v>48</v>
      </c>
      <c r="H107">
        <f>INDEX(Data!AA:AA,MATCH($P107,Data!$AL:$AL,0))</f>
        <v>1000</v>
      </c>
      <c r="I107" t="str">
        <f>INDEX(Data!AB:AB,MATCH($P107,Data!$AL:$AL,0))</f>
        <v>[0.4, 0.3, 0.2, 0.1]</v>
      </c>
      <c r="J107" t="str">
        <f>INDEX(Data!V:V,MATCH($P107,Data!$AL:$AL,0))</f>
        <v>Adam</v>
      </c>
      <c r="K107" t="str">
        <f>INDEX(Data!W:W,MATCH($P107,Data!$AL:$AL,0))</f>
        <v>mean_squares</v>
      </c>
      <c r="L107" t="str">
        <f>INDEX(Data!X:X,MATCH($P107,Data!$AL:$AL,0))</f>
        <v>gaussian</v>
      </c>
      <c r="M107" t="b">
        <f>INDEX(Data!AD:AD,MATCH($P107,Data!$AL:$AL,0))</f>
        <v>1</v>
      </c>
      <c r="N107" t="b">
        <f>INDEX(Data!AF:AF,MATCH($P107,Data!$AL:$AL,0))</f>
        <v>1</v>
      </c>
      <c r="O107">
        <f>INDEX(Data!Q:Q,MATCH($P107,Data!$AL:$AL,0))</f>
        <v>10</v>
      </c>
      <c r="P107" t="s">
        <v>79</v>
      </c>
      <c r="Q107" s="3" t="str">
        <f t="shared" si="1"/>
        <v>SPCL2024-01-20 10-14-53</v>
      </c>
    </row>
    <row r="108" spans="1:17" x14ac:dyDescent="0.25">
      <c r="A108" s="4">
        <v>107</v>
      </c>
      <c r="B108" s="217" t="s">
        <v>44</v>
      </c>
      <c r="C108" s="84">
        <f>INDEX(Data!M:M,MATCH(Q108,Data!AM:AM,0))</f>
        <v>93.75</v>
      </c>
      <c r="D108" s="85">
        <f>INDEX(Data!O:O,MATCH(Q108,Data!AM:AM,0))</f>
        <v>86.11</v>
      </c>
      <c r="E108" s="1">
        <f>INDEX(Data!T:T,MATCH($P108,Data!$AL:$AL,0))</f>
        <v>8</v>
      </c>
      <c r="F108" s="1">
        <f>INDEX(Data!P:P,MATCH($P108,Data!$AL:$AL,0))</f>
        <v>500</v>
      </c>
      <c r="G108" s="1">
        <f>INDEX(Data!Z:Z,MATCH($P108,Data!$AL:$AL,0))</f>
        <v>48</v>
      </c>
      <c r="H108" s="1">
        <f>INDEX(Data!AA:AA,MATCH($P108,Data!$AL:$AL,0))</f>
        <v>1000</v>
      </c>
      <c r="I108" s="1" t="str">
        <f>INDEX(Data!AB:AB,MATCH($P108,Data!$AL:$AL,0))</f>
        <v>[0.4, 0.3, 0.2, 0.1]</v>
      </c>
      <c r="J108" s="1" t="str">
        <f>INDEX(Data!V:V,MATCH($P108,Data!$AL:$AL,0))</f>
        <v>Adam</v>
      </c>
      <c r="K108" s="1" t="str">
        <f>INDEX(Data!W:W,MATCH($P108,Data!$AL:$AL,0))</f>
        <v>mean_squares</v>
      </c>
      <c r="L108" s="1" t="str">
        <f>INDEX(Data!X:X,MATCH($P108,Data!$AL:$AL,0))</f>
        <v>gaussian</v>
      </c>
      <c r="M108" s="1" t="b">
        <f>INDEX(Data!AD:AD,MATCH($P108,Data!$AL:$AL,0))</f>
        <v>1</v>
      </c>
      <c r="N108" s="1" t="b">
        <f>INDEX(Data!AF:AF,MATCH($P108,Data!$AL:$AL,0))</f>
        <v>1</v>
      </c>
      <c r="O108" s="1">
        <f>INDEX(Data!Q:Q,MATCH($P108,Data!$AL:$AL,0))</f>
        <v>10</v>
      </c>
      <c r="P108" s="1" t="s">
        <v>79</v>
      </c>
      <c r="Q108" s="4" t="str">
        <f t="shared" si="1"/>
        <v>SPACL2024-01-20 10-14-53</v>
      </c>
    </row>
    <row r="109" spans="1:17" x14ac:dyDescent="0.25">
      <c r="A109" s="3">
        <v>108</v>
      </c>
      <c r="B109" s="218" t="s">
        <v>40</v>
      </c>
      <c r="C109" s="13">
        <f>INDEX(Data!M:M,MATCH(Q109,Data!AM:AM,0))</f>
        <v>90.4166666666666</v>
      </c>
      <c r="D109" s="75">
        <f>INDEX(Data!O:O,MATCH(Q109,Data!AM:AM,0))</f>
        <v>86.85</v>
      </c>
      <c r="E109" s="2">
        <f>INDEX(Data!T:T,MATCH($P109,Data!$AL:$AL,0))</f>
        <v>8</v>
      </c>
      <c r="F109" s="2">
        <f>INDEX(Data!P:P,MATCH($P109,Data!$AL:$AL,0))</f>
        <v>500</v>
      </c>
      <c r="G109" s="2">
        <f>INDEX(Data!Z:Z,MATCH($P109,Data!$AL:$AL,0))</f>
        <v>48</v>
      </c>
      <c r="H109" s="2">
        <f>INDEX(Data!AA:AA,MATCH($P109,Data!$AL:$AL,0))</f>
        <v>1000</v>
      </c>
      <c r="I109" s="2" t="str">
        <f>INDEX(Data!AB:AB,MATCH($P109,Data!$AL:$AL,0))</f>
        <v>[0.1, 0.2, 0.3, 0.4]</v>
      </c>
      <c r="J109" s="2" t="str">
        <f>INDEX(Data!V:V,MATCH($P109,Data!$AL:$AL,0))</f>
        <v>Adam</v>
      </c>
      <c r="K109" s="2" t="str">
        <f>INDEX(Data!W:W,MATCH($P109,Data!$AL:$AL,0))</f>
        <v>mean_squares</v>
      </c>
      <c r="L109" s="2" t="str">
        <f>INDEX(Data!X:X,MATCH($P109,Data!$AL:$AL,0))</f>
        <v>gaussian</v>
      </c>
      <c r="M109" s="2" t="b">
        <f>INDEX(Data!AD:AD,MATCH($P109,Data!$AL:$AL,0))</f>
        <v>1</v>
      </c>
      <c r="N109" s="2" t="b">
        <f>INDEX(Data!AF:AF,MATCH($P109,Data!$AL:$AL,0))</f>
        <v>1</v>
      </c>
      <c r="O109" s="2">
        <f>INDEX(Data!Q:Q,MATCH($P109,Data!$AL:$AL,0))</f>
        <v>10</v>
      </c>
      <c r="P109" t="s">
        <v>80</v>
      </c>
      <c r="Q109" s="3" t="str">
        <f t="shared" si="1"/>
        <v>NCL2024-01-20 10-15-48</v>
      </c>
    </row>
    <row r="110" spans="1:17" x14ac:dyDescent="0.25">
      <c r="A110" s="3">
        <v>109</v>
      </c>
      <c r="B110" s="216" t="s">
        <v>41</v>
      </c>
      <c r="C110" s="11">
        <f>INDEX(Data!M:M,MATCH(Q110,Data!AM:AM,0))</f>
        <v>89.5833333333333</v>
      </c>
      <c r="D110" s="11">
        <f>INDEX(Data!O:O,MATCH(Q110,Data!AM:AM,0))</f>
        <v>85.34</v>
      </c>
      <c r="E110">
        <f>INDEX(Data!T:T,MATCH($P110,Data!$AL:$AL,0))</f>
        <v>8</v>
      </c>
      <c r="F110">
        <f>INDEX(Data!P:P,MATCH($P110,Data!$AL:$AL,0))</f>
        <v>500</v>
      </c>
      <c r="G110">
        <f>INDEX(Data!Z:Z,MATCH($P110,Data!$AL:$AL,0))</f>
        <v>48</v>
      </c>
      <c r="H110">
        <f>INDEX(Data!AA:AA,MATCH($P110,Data!$AL:$AL,0))</f>
        <v>1000</v>
      </c>
      <c r="I110" t="str">
        <f>INDEX(Data!AB:AB,MATCH($P110,Data!$AL:$AL,0))</f>
        <v>[0.1, 0.2, 0.3, 0.4]</v>
      </c>
      <c r="J110" t="str">
        <f>INDEX(Data!V:V,MATCH($P110,Data!$AL:$AL,0))</f>
        <v>Adam</v>
      </c>
      <c r="K110" t="str">
        <f>INDEX(Data!W:W,MATCH($P110,Data!$AL:$AL,0))</f>
        <v>mean_squares</v>
      </c>
      <c r="L110" t="str">
        <f>INDEX(Data!X:X,MATCH($P110,Data!$AL:$AL,0))</f>
        <v>gaussian</v>
      </c>
      <c r="M110" t="b">
        <f>INDEX(Data!AD:AD,MATCH($P110,Data!$AL:$AL,0))</f>
        <v>1</v>
      </c>
      <c r="N110" t="b">
        <f>INDEX(Data!AF:AF,MATCH($P110,Data!$AL:$AL,0))</f>
        <v>1</v>
      </c>
      <c r="O110">
        <f>INDEX(Data!Q:Q,MATCH($P110,Data!$AL:$AL,0))</f>
        <v>10</v>
      </c>
      <c r="P110" t="s">
        <v>80</v>
      </c>
      <c r="Q110" s="3" t="str">
        <f t="shared" si="1"/>
        <v>CL2024-01-20 10-15-48</v>
      </c>
    </row>
    <row r="111" spans="1:17" x14ac:dyDescent="0.25">
      <c r="A111" s="3">
        <v>110</v>
      </c>
      <c r="B111" s="216" t="s">
        <v>42</v>
      </c>
      <c r="C111" s="64">
        <f>INDEX(Data!M:M,MATCH(Q111,Data!AM:AM,0))</f>
        <v>90.8333333333333</v>
      </c>
      <c r="D111" s="86">
        <f>INDEX(Data!O:O,MATCH(Q111,Data!AM:AM,0))</f>
        <v>87.869999999999905</v>
      </c>
      <c r="E111">
        <f>INDEX(Data!T:T,MATCH($P111,Data!$AL:$AL,0))</f>
        <v>8</v>
      </c>
      <c r="F111">
        <f>INDEX(Data!P:P,MATCH($P111,Data!$AL:$AL,0))</f>
        <v>500</v>
      </c>
      <c r="G111">
        <f>INDEX(Data!Z:Z,MATCH($P111,Data!$AL:$AL,0))</f>
        <v>48</v>
      </c>
      <c r="H111">
        <f>INDEX(Data!AA:AA,MATCH($P111,Data!$AL:$AL,0))</f>
        <v>1000</v>
      </c>
      <c r="I111" t="str">
        <f>INDEX(Data!AB:AB,MATCH($P111,Data!$AL:$AL,0))</f>
        <v>[0.1, 0.2, 0.3, 0.4]</v>
      </c>
      <c r="J111" t="str">
        <f>INDEX(Data!V:V,MATCH($P111,Data!$AL:$AL,0))</f>
        <v>Adam</v>
      </c>
      <c r="K111" t="str">
        <f>INDEX(Data!W:W,MATCH($P111,Data!$AL:$AL,0))</f>
        <v>mean_squares</v>
      </c>
      <c r="L111" t="str">
        <f>INDEX(Data!X:X,MATCH($P111,Data!$AL:$AL,0))</f>
        <v>gaussian</v>
      </c>
      <c r="M111" t="b">
        <f>INDEX(Data!AD:AD,MATCH($P111,Data!$AL:$AL,0))</f>
        <v>1</v>
      </c>
      <c r="N111" t="b">
        <f>INDEX(Data!AF:AF,MATCH($P111,Data!$AL:$AL,0))</f>
        <v>1</v>
      </c>
      <c r="O111">
        <f>INDEX(Data!Q:Q,MATCH($P111,Data!$AL:$AL,0))</f>
        <v>10</v>
      </c>
      <c r="P111" t="s">
        <v>80</v>
      </c>
      <c r="Q111" s="3" t="str">
        <f t="shared" si="1"/>
        <v>ACL2024-01-20 10-15-48</v>
      </c>
    </row>
    <row r="112" spans="1:17" x14ac:dyDescent="0.25">
      <c r="A112" s="3">
        <v>111</v>
      </c>
      <c r="B112" s="216" t="s">
        <v>43</v>
      </c>
      <c r="C112" s="15">
        <f>INDEX(Data!M:M,MATCH(Q112,Data!AM:AM,0))</f>
        <v>92.2916666666666</v>
      </c>
      <c r="D112" s="15">
        <f>INDEX(Data!O:O,MATCH(Q112,Data!AM:AM,0))</f>
        <v>87.99</v>
      </c>
      <c r="E112">
        <f>INDEX(Data!T:T,MATCH($P112,Data!$AL:$AL,0))</f>
        <v>8</v>
      </c>
      <c r="F112">
        <f>INDEX(Data!P:P,MATCH($P112,Data!$AL:$AL,0))</f>
        <v>500</v>
      </c>
      <c r="G112">
        <f>INDEX(Data!Z:Z,MATCH($P112,Data!$AL:$AL,0))</f>
        <v>48</v>
      </c>
      <c r="H112">
        <f>INDEX(Data!AA:AA,MATCH($P112,Data!$AL:$AL,0))</f>
        <v>1000</v>
      </c>
      <c r="I112" t="str">
        <f>INDEX(Data!AB:AB,MATCH($P112,Data!$AL:$AL,0))</f>
        <v>[0.1, 0.2, 0.3, 0.4]</v>
      </c>
      <c r="J112" t="str">
        <f>INDEX(Data!V:V,MATCH($P112,Data!$AL:$AL,0))</f>
        <v>Adam</v>
      </c>
      <c r="K112" t="str">
        <f>INDEX(Data!W:W,MATCH($P112,Data!$AL:$AL,0))</f>
        <v>mean_squares</v>
      </c>
      <c r="L112" t="str">
        <f>INDEX(Data!X:X,MATCH($P112,Data!$AL:$AL,0))</f>
        <v>gaussian</v>
      </c>
      <c r="M112" t="b">
        <f>INDEX(Data!AD:AD,MATCH($P112,Data!$AL:$AL,0))</f>
        <v>1</v>
      </c>
      <c r="N112" t="b">
        <f>INDEX(Data!AF:AF,MATCH($P112,Data!$AL:$AL,0))</f>
        <v>1</v>
      </c>
      <c r="O112">
        <f>INDEX(Data!Q:Q,MATCH($P112,Data!$AL:$AL,0))</f>
        <v>10</v>
      </c>
      <c r="P112" t="s">
        <v>80</v>
      </c>
      <c r="Q112" s="3" t="str">
        <f t="shared" si="1"/>
        <v>SPCL2024-01-20 10-15-48</v>
      </c>
    </row>
    <row r="113" spans="1:17" x14ac:dyDescent="0.25">
      <c r="A113" s="4">
        <v>112</v>
      </c>
      <c r="B113" s="217" t="s">
        <v>44</v>
      </c>
      <c r="C113" s="87">
        <f>INDEX(Data!M:M,MATCH(Q113,Data!AM:AM,0))</f>
        <v>89.999999999999901</v>
      </c>
      <c r="D113" s="18">
        <f>INDEX(Data!O:O,MATCH(Q113,Data!AM:AM,0))</f>
        <v>87.03</v>
      </c>
      <c r="E113" s="1">
        <f>INDEX(Data!T:T,MATCH($P113,Data!$AL:$AL,0))</f>
        <v>8</v>
      </c>
      <c r="F113" s="1">
        <f>INDEX(Data!P:P,MATCH($P113,Data!$AL:$AL,0))</f>
        <v>500</v>
      </c>
      <c r="G113" s="1">
        <f>INDEX(Data!Z:Z,MATCH($P113,Data!$AL:$AL,0))</f>
        <v>48</v>
      </c>
      <c r="H113" s="1">
        <f>INDEX(Data!AA:AA,MATCH($P113,Data!$AL:$AL,0))</f>
        <v>1000</v>
      </c>
      <c r="I113" s="1" t="str">
        <f>INDEX(Data!AB:AB,MATCH($P113,Data!$AL:$AL,0))</f>
        <v>[0.1, 0.2, 0.3, 0.4]</v>
      </c>
      <c r="J113" s="1" t="str">
        <f>INDEX(Data!V:V,MATCH($P113,Data!$AL:$AL,0))</f>
        <v>Adam</v>
      </c>
      <c r="K113" s="1" t="str">
        <f>INDEX(Data!W:W,MATCH($P113,Data!$AL:$AL,0))</f>
        <v>mean_squares</v>
      </c>
      <c r="L113" s="1" t="str">
        <f>INDEX(Data!X:X,MATCH($P113,Data!$AL:$AL,0))</f>
        <v>gaussian</v>
      </c>
      <c r="M113" s="1" t="b">
        <f>INDEX(Data!AD:AD,MATCH($P113,Data!$AL:$AL,0))</f>
        <v>1</v>
      </c>
      <c r="N113" s="1" t="b">
        <f>INDEX(Data!AF:AF,MATCH($P113,Data!$AL:$AL,0))</f>
        <v>1</v>
      </c>
      <c r="O113" s="1">
        <f>INDEX(Data!Q:Q,MATCH($P113,Data!$AL:$AL,0))</f>
        <v>10</v>
      </c>
      <c r="P113" s="1" t="s">
        <v>80</v>
      </c>
      <c r="Q113" s="4" t="str">
        <f t="shared" si="1"/>
        <v>SPACL2024-01-20 10-15-48</v>
      </c>
    </row>
    <row r="114" spans="1:17" x14ac:dyDescent="0.25">
      <c r="A114" s="3">
        <v>113</v>
      </c>
      <c r="B114" s="218" t="s">
        <v>40</v>
      </c>
      <c r="C114" s="169">
        <f>INDEX(Data!M:M,MATCH(Q114,Data!AM:AM,0))</f>
        <v>87.708333330000002</v>
      </c>
      <c r="D114" s="19">
        <f>INDEX(Data!O:O,MATCH(Q114,Data!AM:AM,0))</f>
        <v>81.88</v>
      </c>
      <c r="E114" s="2">
        <f>INDEX(Data!T:T,MATCH($P114,Data!$AL:$AL,0))</f>
        <v>8</v>
      </c>
      <c r="F114" s="2">
        <f>INDEX(Data!P:P,MATCH($P114,Data!$AL:$AL,0))</f>
        <v>500</v>
      </c>
      <c r="G114" s="2">
        <f>INDEX(Data!Z:Z,MATCH($P114,Data!$AL:$AL,0))</f>
        <v>48</v>
      </c>
      <c r="H114" s="2">
        <f>INDEX(Data!AA:AA,MATCH($P114,Data!$AL:$AL,0))</f>
        <v>1000</v>
      </c>
      <c r="I114" s="2" t="str">
        <f>INDEX(Data!AB:AB,MATCH($P114,Data!$AL:$AL,0))</f>
        <v>[0.1, 0.2, 0.3, 0.4]</v>
      </c>
      <c r="J114" s="2" t="str">
        <f>INDEX(Data!V:V,MATCH($P114,Data!$AL:$AL,0))</f>
        <v>Adam</v>
      </c>
      <c r="K114" s="2" t="str">
        <f>INDEX(Data!W:W,MATCH($P114,Data!$AL:$AL,0))</f>
        <v>mean_squares</v>
      </c>
      <c r="L114" s="2" t="str">
        <f>INDEX(Data!X:X,MATCH($P114,Data!$AL:$AL,0))</f>
        <v>gaussian</v>
      </c>
      <c r="M114" s="2" t="b">
        <f>INDEX(Data!AD:AD,MATCH($P114,Data!$AL:$AL,0))</f>
        <v>0</v>
      </c>
      <c r="N114" s="2" t="b">
        <f>INDEX(Data!AF:AF,MATCH($P114,Data!$AL:$AL,0))</f>
        <v>1</v>
      </c>
      <c r="O114" s="2">
        <f>INDEX(Data!Q:Q,MATCH($P114,Data!$AL:$AL,0))</f>
        <v>10</v>
      </c>
      <c r="P114" t="s">
        <v>81</v>
      </c>
      <c r="Q114" s="3" t="str">
        <f t="shared" si="1"/>
        <v>NCL2024-01-20 11-23-59</v>
      </c>
    </row>
    <row r="115" spans="1:17" x14ac:dyDescent="0.25">
      <c r="A115" s="3">
        <v>114</v>
      </c>
      <c r="B115" s="216" t="s">
        <v>41</v>
      </c>
      <c r="C115" s="11">
        <f>INDEX(Data!M:M,MATCH(Q115,Data!AM:AM,0))</f>
        <v>83.125</v>
      </c>
      <c r="D115" s="11">
        <f>INDEX(Data!O:O,MATCH(Q115,Data!AM:AM,0))</f>
        <v>78.36</v>
      </c>
      <c r="E115">
        <f>INDEX(Data!T:T,MATCH($P115,Data!$AL:$AL,0))</f>
        <v>8</v>
      </c>
      <c r="F115">
        <f>INDEX(Data!P:P,MATCH($P115,Data!$AL:$AL,0))</f>
        <v>500</v>
      </c>
      <c r="G115">
        <f>INDEX(Data!Z:Z,MATCH($P115,Data!$AL:$AL,0))</f>
        <v>48</v>
      </c>
      <c r="H115">
        <f>INDEX(Data!AA:AA,MATCH($P115,Data!$AL:$AL,0))</f>
        <v>1000</v>
      </c>
      <c r="I115" t="str">
        <f>INDEX(Data!AB:AB,MATCH($P115,Data!$AL:$AL,0))</f>
        <v>[0.1, 0.2, 0.3, 0.4]</v>
      </c>
      <c r="J115" t="str">
        <f>INDEX(Data!V:V,MATCH($P115,Data!$AL:$AL,0))</f>
        <v>Adam</v>
      </c>
      <c r="K115" t="str">
        <f>INDEX(Data!W:W,MATCH($P115,Data!$AL:$AL,0))</f>
        <v>mean_squares</v>
      </c>
      <c r="L115" t="str">
        <f>INDEX(Data!X:X,MATCH($P115,Data!$AL:$AL,0))</f>
        <v>gaussian</v>
      </c>
      <c r="M115" t="b">
        <f>INDEX(Data!AD:AD,MATCH($P115,Data!$AL:$AL,0))</f>
        <v>0</v>
      </c>
      <c r="N115" t="b">
        <f>INDEX(Data!AF:AF,MATCH($P115,Data!$AL:$AL,0))</f>
        <v>1</v>
      </c>
      <c r="O115">
        <f>INDEX(Data!Q:Q,MATCH($P115,Data!$AL:$AL,0))</f>
        <v>10</v>
      </c>
      <c r="P115" t="s">
        <v>81</v>
      </c>
      <c r="Q115" s="3" t="str">
        <f t="shared" si="1"/>
        <v>CL2024-01-20 11-23-59</v>
      </c>
    </row>
    <row r="116" spans="1:17" x14ac:dyDescent="0.25">
      <c r="A116" s="3">
        <v>115</v>
      </c>
      <c r="B116" s="216" t="s">
        <v>42</v>
      </c>
      <c r="C116" s="10">
        <f>INDEX(Data!M:M,MATCH(Q116,Data!AM:AM,0))</f>
        <v>87.5</v>
      </c>
      <c r="D116" s="174">
        <f>INDEX(Data!O:O,MATCH(Q116,Data!AM:AM,0))</f>
        <v>81.77</v>
      </c>
      <c r="E116">
        <f>INDEX(Data!T:T,MATCH($P116,Data!$AL:$AL,0))</f>
        <v>8</v>
      </c>
      <c r="F116">
        <f>INDEX(Data!P:P,MATCH($P116,Data!$AL:$AL,0))</f>
        <v>500</v>
      </c>
      <c r="G116">
        <f>INDEX(Data!Z:Z,MATCH($P116,Data!$AL:$AL,0))</f>
        <v>48</v>
      </c>
      <c r="H116">
        <f>INDEX(Data!AA:AA,MATCH($P116,Data!$AL:$AL,0))</f>
        <v>1000</v>
      </c>
      <c r="I116" t="str">
        <f>INDEX(Data!AB:AB,MATCH($P116,Data!$AL:$AL,0))</f>
        <v>[0.1, 0.2, 0.3, 0.4]</v>
      </c>
      <c r="J116" t="str">
        <f>INDEX(Data!V:V,MATCH($P116,Data!$AL:$AL,0))</f>
        <v>Adam</v>
      </c>
      <c r="K116" t="str">
        <f>INDEX(Data!W:W,MATCH($P116,Data!$AL:$AL,0))</f>
        <v>mean_squares</v>
      </c>
      <c r="L116" t="str">
        <f>INDEX(Data!X:X,MATCH($P116,Data!$AL:$AL,0))</f>
        <v>gaussian</v>
      </c>
      <c r="M116" t="b">
        <f>INDEX(Data!AD:AD,MATCH($P116,Data!$AL:$AL,0))</f>
        <v>0</v>
      </c>
      <c r="N116" t="b">
        <f>INDEX(Data!AF:AF,MATCH($P116,Data!$AL:$AL,0))</f>
        <v>1</v>
      </c>
      <c r="O116">
        <f>INDEX(Data!Q:Q,MATCH($P116,Data!$AL:$AL,0))</f>
        <v>10</v>
      </c>
      <c r="P116" t="s">
        <v>81</v>
      </c>
      <c r="Q116" s="3" t="str">
        <f t="shared" si="1"/>
        <v>ACL2024-01-20 11-23-59</v>
      </c>
    </row>
    <row r="117" spans="1:17" x14ac:dyDescent="0.25">
      <c r="A117" s="3">
        <v>116</v>
      </c>
      <c r="B117" s="216" t="s">
        <v>43</v>
      </c>
      <c r="C117" s="15">
        <f>INDEX(Data!M:M,MATCH(Q117,Data!AM:AM,0))</f>
        <v>88.125</v>
      </c>
      <c r="D117" s="10">
        <f>INDEX(Data!O:O,MATCH(Q117,Data!AM:AM,0))</f>
        <v>80.819999999999993</v>
      </c>
      <c r="E117">
        <f>INDEX(Data!T:T,MATCH($P117,Data!$AL:$AL,0))</f>
        <v>8</v>
      </c>
      <c r="F117">
        <f>INDEX(Data!P:P,MATCH($P117,Data!$AL:$AL,0))</f>
        <v>500</v>
      </c>
      <c r="G117">
        <f>INDEX(Data!Z:Z,MATCH($P117,Data!$AL:$AL,0))</f>
        <v>48</v>
      </c>
      <c r="H117">
        <f>INDEX(Data!AA:AA,MATCH($P117,Data!$AL:$AL,0))</f>
        <v>1000</v>
      </c>
      <c r="I117" t="str">
        <f>INDEX(Data!AB:AB,MATCH($P117,Data!$AL:$AL,0))</f>
        <v>[0.1, 0.2, 0.3, 0.4]</v>
      </c>
      <c r="J117" t="str">
        <f>INDEX(Data!V:V,MATCH($P117,Data!$AL:$AL,0))</f>
        <v>Adam</v>
      </c>
      <c r="K117" t="str">
        <f>INDEX(Data!W:W,MATCH($P117,Data!$AL:$AL,0))</f>
        <v>mean_squares</v>
      </c>
      <c r="L117" t="str">
        <f>INDEX(Data!X:X,MATCH($P117,Data!$AL:$AL,0))</f>
        <v>gaussian</v>
      </c>
      <c r="M117" t="b">
        <f>INDEX(Data!AD:AD,MATCH($P117,Data!$AL:$AL,0))</f>
        <v>0</v>
      </c>
      <c r="N117" t="b">
        <f>INDEX(Data!AF:AF,MATCH($P117,Data!$AL:$AL,0))</f>
        <v>1</v>
      </c>
      <c r="O117">
        <f>INDEX(Data!Q:Q,MATCH($P117,Data!$AL:$AL,0))</f>
        <v>10</v>
      </c>
      <c r="P117" t="s">
        <v>81</v>
      </c>
      <c r="Q117" s="3" t="str">
        <f t="shared" si="1"/>
        <v>SPCL2024-01-20 11-23-59</v>
      </c>
    </row>
    <row r="118" spans="1:17" x14ac:dyDescent="0.25">
      <c r="A118" s="4">
        <v>117</v>
      </c>
      <c r="B118" s="217" t="s">
        <v>44</v>
      </c>
      <c r="C118" s="20">
        <f>INDEX(Data!M:M,MATCH(Q118,Data!AM:AM,0))</f>
        <v>85.625</v>
      </c>
      <c r="D118" s="21">
        <f>INDEX(Data!O:O,MATCH(Q118,Data!AM:AM,0))</f>
        <v>78.61</v>
      </c>
      <c r="E118" s="1">
        <f>INDEX(Data!T:T,MATCH($P118,Data!$AL:$AL,0))</f>
        <v>8</v>
      </c>
      <c r="F118" s="1">
        <f>INDEX(Data!P:P,MATCH($P118,Data!$AL:$AL,0))</f>
        <v>500</v>
      </c>
      <c r="G118" s="1">
        <f>INDEX(Data!Z:Z,MATCH($P118,Data!$AL:$AL,0))</f>
        <v>48</v>
      </c>
      <c r="H118" s="1">
        <f>INDEX(Data!AA:AA,MATCH($P118,Data!$AL:$AL,0))</f>
        <v>1000</v>
      </c>
      <c r="I118" s="1" t="str">
        <f>INDEX(Data!AB:AB,MATCH($P118,Data!$AL:$AL,0))</f>
        <v>[0.1, 0.2, 0.3, 0.4]</v>
      </c>
      <c r="J118" s="1" t="str">
        <f>INDEX(Data!V:V,MATCH($P118,Data!$AL:$AL,0))</f>
        <v>Adam</v>
      </c>
      <c r="K118" s="1" t="str">
        <f>INDEX(Data!W:W,MATCH($P118,Data!$AL:$AL,0))</f>
        <v>mean_squares</v>
      </c>
      <c r="L118" s="1" t="str">
        <f>INDEX(Data!X:X,MATCH($P118,Data!$AL:$AL,0))</f>
        <v>gaussian</v>
      </c>
      <c r="M118" s="1" t="b">
        <f>INDEX(Data!AD:AD,MATCH($P118,Data!$AL:$AL,0))</f>
        <v>0</v>
      </c>
      <c r="N118" s="1" t="b">
        <f>INDEX(Data!AF:AF,MATCH($P118,Data!$AL:$AL,0))</f>
        <v>1</v>
      </c>
      <c r="O118" s="1">
        <f>INDEX(Data!Q:Q,MATCH($P118,Data!$AL:$AL,0))</f>
        <v>10</v>
      </c>
      <c r="P118" s="1" t="s">
        <v>81</v>
      </c>
      <c r="Q118" s="4" t="str">
        <f t="shared" si="1"/>
        <v>SPACL2024-01-20 11-23-59</v>
      </c>
    </row>
    <row r="119" spans="1:17" x14ac:dyDescent="0.25">
      <c r="A119" s="3">
        <v>118</v>
      </c>
      <c r="B119" s="218" t="s">
        <v>40</v>
      </c>
      <c r="C119" s="13">
        <f>INDEX(Data!M:M,MATCH(Q119,Data!AM:AM,0))</f>
        <v>91.458333330000002</v>
      </c>
      <c r="D119" s="14">
        <f>INDEX(Data!O:O,MATCH(Q119,Data!AM:AM,0))</f>
        <v>83.92</v>
      </c>
      <c r="E119" s="2">
        <f>INDEX(Data!T:T,MATCH($P119,Data!$AL:$AL,0))</f>
        <v>8</v>
      </c>
      <c r="F119" s="2">
        <f>INDEX(Data!P:P,MATCH($P119,Data!$AL:$AL,0))</f>
        <v>500</v>
      </c>
      <c r="G119" s="2">
        <f>INDEX(Data!Z:Z,MATCH($P119,Data!$AL:$AL,0))</f>
        <v>48</v>
      </c>
      <c r="H119" s="2">
        <f>INDEX(Data!AA:AA,MATCH($P119,Data!$AL:$AL,0))</f>
        <v>1000</v>
      </c>
      <c r="I119" s="2" t="str">
        <f>INDEX(Data!AB:AB,MATCH($P119,Data!$AL:$AL,0))</f>
        <v>[0.4, 0.3, 0.2, 0.1]</v>
      </c>
      <c r="J119" s="2" t="str">
        <f>INDEX(Data!V:V,MATCH($P119,Data!$AL:$AL,0))</f>
        <v>Adam</v>
      </c>
      <c r="K119" s="2" t="str">
        <f>INDEX(Data!W:W,MATCH($P119,Data!$AL:$AL,0))</f>
        <v>mean_squares</v>
      </c>
      <c r="L119" s="2" t="str">
        <f>INDEX(Data!X:X,MATCH($P119,Data!$AL:$AL,0))</f>
        <v>gaussian</v>
      </c>
      <c r="M119" s="2" t="b">
        <f>INDEX(Data!AD:AD,MATCH($P119,Data!$AL:$AL,0))</f>
        <v>0</v>
      </c>
      <c r="N119" s="2" t="b">
        <f>INDEX(Data!AF:AF,MATCH($P119,Data!$AL:$AL,0))</f>
        <v>1</v>
      </c>
      <c r="O119" s="2">
        <f>INDEX(Data!Q:Q,MATCH($P119,Data!$AL:$AL,0))</f>
        <v>10</v>
      </c>
      <c r="P119" t="s">
        <v>82</v>
      </c>
      <c r="Q119" s="3" t="str">
        <f t="shared" si="1"/>
        <v>NCL2024-01-20 11-50-23</v>
      </c>
    </row>
    <row r="120" spans="1:17" x14ac:dyDescent="0.25">
      <c r="A120" s="3">
        <v>119</v>
      </c>
      <c r="B120" s="216" t="s">
        <v>41</v>
      </c>
      <c r="C120" s="10">
        <f>INDEX(Data!M:M,MATCH(Q120,Data!AM:AM,0))</f>
        <v>91.458333330000002</v>
      </c>
      <c r="D120" s="11">
        <f>INDEX(Data!O:O,MATCH(Q120,Data!AM:AM,0))</f>
        <v>82.89</v>
      </c>
      <c r="E120">
        <f>INDEX(Data!T:T,MATCH($P120,Data!$AL:$AL,0))</f>
        <v>8</v>
      </c>
      <c r="F120">
        <f>INDEX(Data!P:P,MATCH($P120,Data!$AL:$AL,0))</f>
        <v>500</v>
      </c>
      <c r="G120">
        <f>INDEX(Data!Z:Z,MATCH($P120,Data!$AL:$AL,0))</f>
        <v>48</v>
      </c>
      <c r="H120">
        <f>INDEX(Data!AA:AA,MATCH($P120,Data!$AL:$AL,0))</f>
        <v>1000</v>
      </c>
      <c r="I120" t="str">
        <f>INDEX(Data!AB:AB,MATCH($P120,Data!$AL:$AL,0))</f>
        <v>[0.4, 0.3, 0.2, 0.1]</v>
      </c>
      <c r="J120" t="str">
        <f>INDEX(Data!V:V,MATCH($P120,Data!$AL:$AL,0))</f>
        <v>Adam</v>
      </c>
      <c r="K120" t="str">
        <f>INDEX(Data!W:W,MATCH($P120,Data!$AL:$AL,0))</f>
        <v>mean_squares</v>
      </c>
      <c r="L120" t="str">
        <f>INDEX(Data!X:X,MATCH($P120,Data!$AL:$AL,0))</f>
        <v>gaussian</v>
      </c>
      <c r="M120" t="b">
        <f>INDEX(Data!AD:AD,MATCH($P120,Data!$AL:$AL,0))</f>
        <v>0</v>
      </c>
      <c r="N120" t="b">
        <f>INDEX(Data!AF:AF,MATCH($P120,Data!$AL:$AL,0))</f>
        <v>1</v>
      </c>
      <c r="O120">
        <f>INDEX(Data!Q:Q,MATCH($P120,Data!$AL:$AL,0))</f>
        <v>10</v>
      </c>
      <c r="P120" t="s">
        <v>82</v>
      </c>
      <c r="Q120" s="3" t="str">
        <f t="shared" si="1"/>
        <v>CL2024-01-20 11-50-23</v>
      </c>
    </row>
    <row r="121" spans="1:17" x14ac:dyDescent="0.25">
      <c r="A121" s="3">
        <v>120</v>
      </c>
      <c r="B121" s="216" t="s">
        <v>42</v>
      </c>
      <c r="C121" s="15">
        <f>INDEX(Data!M:M,MATCH(Q121,Data!AM:AM,0))</f>
        <v>94.375</v>
      </c>
      <c r="D121" s="15">
        <f>INDEX(Data!O:O,MATCH(Q121,Data!AM:AM,0))</f>
        <v>87.51</v>
      </c>
      <c r="E121">
        <f>INDEX(Data!T:T,MATCH($P121,Data!$AL:$AL,0))</f>
        <v>8</v>
      </c>
      <c r="F121">
        <f>INDEX(Data!P:P,MATCH($P121,Data!$AL:$AL,0))</f>
        <v>500</v>
      </c>
      <c r="G121">
        <f>INDEX(Data!Z:Z,MATCH($P121,Data!$AL:$AL,0))</f>
        <v>48</v>
      </c>
      <c r="H121">
        <f>INDEX(Data!AA:AA,MATCH($P121,Data!$AL:$AL,0))</f>
        <v>1000</v>
      </c>
      <c r="I121" t="str">
        <f>INDEX(Data!AB:AB,MATCH($P121,Data!$AL:$AL,0))</f>
        <v>[0.4, 0.3, 0.2, 0.1]</v>
      </c>
      <c r="J121" t="str">
        <f>INDEX(Data!V:V,MATCH($P121,Data!$AL:$AL,0))</f>
        <v>Adam</v>
      </c>
      <c r="K121" t="str">
        <f>INDEX(Data!W:W,MATCH($P121,Data!$AL:$AL,0))</f>
        <v>mean_squares</v>
      </c>
      <c r="L121" t="str">
        <f>INDEX(Data!X:X,MATCH($P121,Data!$AL:$AL,0))</f>
        <v>gaussian</v>
      </c>
      <c r="M121" t="b">
        <f>INDEX(Data!AD:AD,MATCH($P121,Data!$AL:$AL,0))</f>
        <v>0</v>
      </c>
      <c r="N121" t="b">
        <f>INDEX(Data!AF:AF,MATCH($P121,Data!$AL:$AL,0))</f>
        <v>1</v>
      </c>
      <c r="O121">
        <f>INDEX(Data!Q:Q,MATCH($P121,Data!$AL:$AL,0))</f>
        <v>10</v>
      </c>
      <c r="P121" t="s">
        <v>82</v>
      </c>
      <c r="Q121" s="3" t="str">
        <f t="shared" si="1"/>
        <v>ACL2024-01-20 11-50-23</v>
      </c>
    </row>
    <row r="122" spans="1:17" x14ac:dyDescent="0.25">
      <c r="A122" s="3">
        <v>121</v>
      </c>
      <c r="B122" s="216" t="s">
        <v>43</v>
      </c>
      <c r="C122" s="11">
        <f>INDEX(Data!M:M,MATCH(Q122,Data!AM:AM,0))</f>
        <v>90.833333330000002</v>
      </c>
      <c r="D122" s="16">
        <f>INDEX(Data!O:O,MATCH(Q122,Data!AM:AM,0))</f>
        <v>82.97</v>
      </c>
      <c r="E122">
        <f>INDEX(Data!T:T,MATCH($P122,Data!$AL:$AL,0))</f>
        <v>8</v>
      </c>
      <c r="F122">
        <f>INDEX(Data!P:P,MATCH($P122,Data!$AL:$AL,0))</f>
        <v>500</v>
      </c>
      <c r="G122">
        <f>INDEX(Data!Z:Z,MATCH($P122,Data!$AL:$AL,0))</f>
        <v>48</v>
      </c>
      <c r="H122">
        <f>INDEX(Data!AA:AA,MATCH($P122,Data!$AL:$AL,0))</f>
        <v>1000</v>
      </c>
      <c r="I122" t="str">
        <f>INDEX(Data!AB:AB,MATCH($P122,Data!$AL:$AL,0))</f>
        <v>[0.4, 0.3, 0.2, 0.1]</v>
      </c>
      <c r="J122" t="str">
        <f>INDEX(Data!V:V,MATCH($P122,Data!$AL:$AL,0))</f>
        <v>Adam</v>
      </c>
      <c r="K122" t="str">
        <f>INDEX(Data!W:W,MATCH($P122,Data!$AL:$AL,0))</f>
        <v>mean_squares</v>
      </c>
      <c r="L122" t="str">
        <f>INDEX(Data!X:X,MATCH($P122,Data!$AL:$AL,0))</f>
        <v>gaussian</v>
      </c>
      <c r="M122" t="b">
        <f>INDEX(Data!AD:AD,MATCH($P122,Data!$AL:$AL,0))</f>
        <v>0</v>
      </c>
      <c r="N122" t="b">
        <f>INDEX(Data!AF:AF,MATCH($P122,Data!$AL:$AL,0))</f>
        <v>1</v>
      </c>
      <c r="O122">
        <f>INDEX(Data!Q:Q,MATCH($P122,Data!$AL:$AL,0))</f>
        <v>10</v>
      </c>
      <c r="P122" t="s">
        <v>82</v>
      </c>
      <c r="Q122" s="3" t="str">
        <f t="shared" si="1"/>
        <v>SPCL2024-01-20 11-50-23</v>
      </c>
    </row>
    <row r="123" spans="1:17" x14ac:dyDescent="0.25">
      <c r="A123" s="4">
        <v>122</v>
      </c>
      <c r="B123" s="217" t="s">
        <v>44</v>
      </c>
      <c r="C123" s="17">
        <f>INDEX(Data!M:M,MATCH(Q123,Data!AM:AM,0))</f>
        <v>91.875</v>
      </c>
      <c r="D123" s="18">
        <f>INDEX(Data!O:O,MATCH(Q123,Data!AM:AM,0))</f>
        <v>83.88</v>
      </c>
      <c r="E123" s="1">
        <f>INDEX(Data!T:T,MATCH($P123,Data!$AL:$AL,0))</f>
        <v>8</v>
      </c>
      <c r="F123" s="1">
        <f>INDEX(Data!P:P,MATCH($P123,Data!$AL:$AL,0))</f>
        <v>500</v>
      </c>
      <c r="G123" s="1">
        <f>INDEX(Data!Z:Z,MATCH($P123,Data!$AL:$AL,0))</f>
        <v>48</v>
      </c>
      <c r="H123" s="1">
        <f>INDEX(Data!AA:AA,MATCH($P123,Data!$AL:$AL,0))</f>
        <v>1000</v>
      </c>
      <c r="I123" s="1" t="str">
        <f>INDEX(Data!AB:AB,MATCH($P123,Data!$AL:$AL,0))</f>
        <v>[0.4, 0.3, 0.2, 0.1]</v>
      </c>
      <c r="J123" s="1" t="str">
        <f>INDEX(Data!V:V,MATCH($P123,Data!$AL:$AL,0))</f>
        <v>Adam</v>
      </c>
      <c r="K123" s="1" t="str">
        <f>INDEX(Data!W:W,MATCH($P123,Data!$AL:$AL,0))</f>
        <v>mean_squares</v>
      </c>
      <c r="L123" s="1" t="str">
        <f>INDEX(Data!X:X,MATCH($P123,Data!$AL:$AL,0))</f>
        <v>gaussian</v>
      </c>
      <c r="M123" s="1" t="b">
        <f>INDEX(Data!AD:AD,MATCH($P123,Data!$AL:$AL,0))</f>
        <v>0</v>
      </c>
      <c r="N123" s="1" t="b">
        <f>INDEX(Data!AF:AF,MATCH($P123,Data!$AL:$AL,0))</f>
        <v>1</v>
      </c>
      <c r="O123" s="1">
        <f>INDEX(Data!Q:Q,MATCH($P123,Data!$AL:$AL,0))</f>
        <v>10</v>
      </c>
      <c r="P123" s="1" t="s">
        <v>82</v>
      </c>
      <c r="Q123" s="4" t="str">
        <f t="shared" si="1"/>
        <v>SPACL2024-01-20 11-50-23</v>
      </c>
    </row>
    <row r="124" spans="1:17" x14ac:dyDescent="0.25">
      <c r="A124" s="3">
        <v>123</v>
      </c>
      <c r="B124" s="218" t="s">
        <v>40</v>
      </c>
      <c r="C124" s="19">
        <f>INDEX(Data!M:M,MATCH(Q124,Data!AM:AM,0))</f>
        <v>98.125</v>
      </c>
      <c r="D124" s="13">
        <f>INDEX(Data!O:O,MATCH(Q124,Data!AM:AM,0))</f>
        <v>84.87</v>
      </c>
      <c r="E124" s="2">
        <f>INDEX(Data!T:T,MATCH($P124,Data!$AL:$AL,0))</f>
        <v>8</v>
      </c>
      <c r="F124" s="2">
        <f>INDEX(Data!P:P,MATCH($P124,Data!$AL:$AL,0))</f>
        <v>500</v>
      </c>
      <c r="G124" s="2">
        <f>INDEX(Data!Z:Z,MATCH($P124,Data!$AL:$AL,0))</f>
        <v>48</v>
      </c>
      <c r="H124" s="2">
        <f>INDEX(Data!AA:AA,MATCH($P124,Data!$AL:$AL,0))</f>
        <v>1000</v>
      </c>
      <c r="I124" s="2" t="str">
        <f>INDEX(Data!AB:AB,MATCH($P124,Data!$AL:$AL,0))</f>
        <v>[0.1, 0.2, 0.3, 0.4]</v>
      </c>
      <c r="J124" s="2" t="str">
        <f>INDEX(Data!V:V,MATCH($P124,Data!$AL:$AL,0))</f>
        <v>Adam</v>
      </c>
      <c r="K124" s="2" t="str">
        <f>INDEX(Data!W:W,MATCH($P124,Data!$AL:$AL,0))</f>
        <v>mean_squares</v>
      </c>
      <c r="L124" s="2" t="str">
        <f>INDEX(Data!X:X,MATCH($P124,Data!$AL:$AL,0))</f>
        <v>uniform</v>
      </c>
      <c r="M124" s="2" t="b">
        <f>INDEX(Data!AD:AD,MATCH($P124,Data!$AL:$AL,0))</f>
        <v>1</v>
      </c>
      <c r="N124" s="2" t="b">
        <f>INDEX(Data!AF:AF,MATCH($P124,Data!$AL:$AL,0))</f>
        <v>1</v>
      </c>
      <c r="O124" s="2">
        <f>INDEX(Data!Q:Q,MATCH($P124,Data!$AL:$AL,0))</f>
        <v>10</v>
      </c>
      <c r="P124" t="s">
        <v>85</v>
      </c>
      <c r="Q124" s="3" t="str">
        <f t="shared" si="1"/>
        <v>NCL2024-01-21 20-12-59</v>
      </c>
    </row>
    <row r="125" spans="1:17" x14ac:dyDescent="0.25">
      <c r="A125" s="3">
        <v>124</v>
      </c>
      <c r="B125" s="216" t="s">
        <v>41</v>
      </c>
      <c r="C125" s="11">
        <f>INDEX(Data!M:M,MATCH(Q125,Data!AM:AM,0))</f>
        <v>96.041666669999998</v>
      </c>
      <c r="D125" s="11">
        <f>INDEX(Data!O:O,MATCH(Q125,Data!AM:AM,0))</f>
        <v>82.03</v>
      </c>
      <c r="E125">
        <f>INDEX(Data!T:T,MATCH($P125,Data!$AL:$AL,0))</f>
        <v>8</v>
      </c>
      <c r="F125">
        <f>INDEX(Data!P:P,MATCH($P125,Data!$AL:$AL,0))</f>
        <v>500</v>
      </c>
      <c r="G125">
        <f>INDEX(Data!Z:Z,MATCH($P125,Data!$AL:$AL,0))</f>
        <v>48</v>
      </c>
      <c r="H125">
        <f>INDEX(Data!AA:AA,MATCH($P125,Data!$AL:$AL,0))</f>
        <v>1000</v>
      </c>
      <c r="I125" t="str">
        <f>INDEX(Data!AB:AB,MATCH($P125,Data!$AL:$AL,0))</f>
        <v>[0.1, 0.2, 0.3, 0.4]</v>
      </c>
      <c r="J125" t="str">
        <f>INDEX(Data!V:V,MATCH($P125,Data!$AL:$AL,0))</f>
        <v>Adam</v>
      </c>
      <c r="K125" t="str">
        <f>INDEX(Data!W:W,MATCH($P125,Data!$AL:$AL,0))</f>
        <v>mean_squares</v>
      </c>
      <c r="L125" t="str">
        <f>INDEX(Data!X:X,MATCH($P125,Data!$AL:$AL,0))</f>
        <v>uniform</v>
      </c>
      <c r="M125" t="b">
        <f>INDEX(Data!AD:AD,MATCH($P125,Data!$AL:$AL,0))</f>
        <v>1</v>
      </c>
      <c r="N125" t="b">
        <f>INDEX(Data!AF:AF,MATCH($P125,Data!$AL:$AL,0))</f>
        <v>1</v>
      </c>
      <c r="O125">
        <f>INDEX(Data!Q:Q,MATCH($P125,Data!$AL:$AL,0))</f>
        <v>10</v>
      </c>
      <c r="P125" t="s">
        <v>85</v>
      </c>
      <c r="Q125" s="3" t="str">
        <f t="shared" si="1"/>
        <v>CL2024-01-21 20-12-59</v>
      </c>
    </row>
    <row r="126" spans="1:17" x14ac:dyDescent="0.25">
      <c r="A126" s="3">
        <v>125</v>
      </c>
      <c r="B126" s="216" t="s">
        <v>42</v>
      </c>
      <c r="C126" s="175">
        <f>INDEX(Data!M:M,MATCH(Q126,Data!AM:AM,0))</f>
        <v>97.916666669999998</v>
      </c>
      <c r="D126" s="192">
        <f>INDEX(Data!O:O,MATCH(Q126,Data!AM:AM,0))</f>
        <v>85.59</v>
      </c>
      <c r="E126">
        <f>INDEX(Data!T:T,MATCH($P126,Data!$AL:$AL,0))</f>
        <v>8</v>
      </c>
      <c r="F126">
        <f>INDEX(Data!P:P,MATCH($P126,Data!$AL:$AL,0))</f>
        <v>500</v>
      </c>
      <c r="G126">
        <f>INDEX(Data!Z:Z,MATCH($P126,Data!$AL:$AL,0))</f>
        <v>48</v>
      </c>
      <c r="H126">
        <f>INDEX(Data!AA:AA,MATCH($P126,Data!$AL:$AL,0))</f>
        <v>1000</v>
      </c>
      <c r="I126" t="str">
        <f>INDEX(Data!AB:AB,MATCH($P126,Data!$AL:$AL,0))</f>
        <v>[0.1, 0.2, 0.3, 0.4]</v>
      </c>
      <c r="J126" t="str">
        <f>INDEX(Data!V:V,MATCH($P126,Data!$AL:$AL,0))</f>
        <v>Adam</v>
      </c>
      <c r="K126" t="str">
        <f>INDEX(Data!W:W,MATCH($P126,Data!$AL:$AL,0))</f>
        <v>mean_squares</v>
      </c>
      <c r="L126" t="str">
        <f>INDEX(Data!X:X,MATCH($P126,Data!$AL:$AL,0))</f>
        <v>uniform</v>
      </c>
      <c r="M126" t="b">
        <f>INDEX(Data!AD:AD,MATCH($P126,Data!$AL:$AL,0))</f>
        <v>1</v>
      </c>
      <c r="N126" t="b">
        <f>INDEX(Data!AF:AF,MATCH($P126,Data!$AL:$AL,0))</f>
        <v>1</v>
      </c>
      <c r="O126">
        <f>INDEX(Data!Q:Q,MATCH($P126,Data!$AL:$AL,0))</f>
        <v>10</v>
      </c>
      <c r="P126" t="s">
        <v>85</v>
      </c>
      <c r="Q126" s="3" t="str">
        <f t="shared" si="1"/>
        <v>ACL2024-01-21 20-12-59</v>
      </c>
    </row>
    <row r="127" spans="1:17" x14ac:dyDescent="0.25">
      <c r="A127" s="3">
        <v>126</v>
      </c>
      <c r="B127" s="216" t="s">
        <v>43</v>
      </c>
      <c r="C127" s="10">
        <f>INDEX(Data!M:M,MATCH(Q127,Data!AM:AM,0))</f>
        <v>97.5</v>
      </c>
      <c r="D127" s="193">
        <f>INDEX(Data!O:O,MATCH(Q127,Data!AM:AM,0))</f>
        <v>83.96</v>
      </c>
      <c r="E127">
        <f>INDEX(Data!T:T,MATCH($P127,Data!$AL:$AL,0))</f>
        <v>8</v>
      </c>
      <c r="F127">
        <f>INDEX(Data!P:P,MATCH($P127,Data!$AL:$AL,0))</f>
        <v>500</v>
      </c>
      <c r="G127">
        <f>INDEX(Data!Z:Z,MATCH($P127,Data!$AL:$AL,0))</f>
        <v>48</v>
      </c>
      <c r="H127">
        <f>INDEX(Data!AA:AA,MATCH($P127,Data!$AL:$AL,0))</f>
        <v>1000</v>
      </c>
      <c r="I127" t="str">
        <f>INDEX(Data!AB:AB,MATCH($P127,Data!$AL:$AL,0))</f>
        <v>[0.1, 0.2, 0.3, 0.4]</v>
      </c>
      <c r="J127" t="str">
        <f>INDEX(Data!V:V,MATCH($P127,Data!$AL:$AL,0))</f>
        <v>Adam</v>
      </c>
      <c r="K127" t="str">
        <f>INDEX(Data!W:W,MATCH($P127,Data!$AL:$AL,0))</f>
        <v>mean_squares</v>
      </c>
      <c r="L127" t="str">
        <f>INDEX(Data!X:X,MATCH($P127,Data!$AL:$AL,0))</f>
        <v>uniform</v>
      </c>
      <c r="M127" t="b">
        <f>INDEX(Data!AD:AD,MATCH($P127,Data!$AL:$AL,0))</f>
        <v>1</v>
      </c>
      <c r="N127" t="b">
        <f>INDEX(Data!AF:AF,MATCH($P127,Data!$AL:$AL,0))</f>
        <v>1</v>
      </c>
      <c r="O127">
        <f>INDEX(Data!Q:Q,MATCH($P127,Data!$AL:$AL,0))</f>
        <v>10</v>
      </c>
      <c r="P127" t="s">
        <v>85</v>
      </c>
      <c r="Q127" s="3" t="str">
        <f t="shared" si="1"/>
        <v>SPCL2024-01-21 20-12-59</v>
      </c>
    </row>
    <row r="128" spans="1:17" x14ac:dyDescent="0.25">
      <c r="A128" s="4">
        <v>127</v>
      </c>
      <c r="B128" s="217" t="s">
        <v>44</v>
      </c>
      <c r="C128" s="18">
        <f>INDEX(Data!M:M,MATCH(Q128,Data!AM:AM,0))</f>
        <v>97.5</v>
      </c>
      <c r="D128" s="12">
        <f>INDEX(Data!O:O,MATCH(Q128,Data!AM:AM,0))</f>
        <v>86.08</v>
      </c>
      <c r="E128" s="1">
        <f>INDEX(Data!T:T,MATCH($P128,Data!$AL:$AL,0))</f>
        <v>8</v>
      </c>
      <c r="F128" s="1">
        <f>INDEX(Data!P:P,MATCH($P128,Data!$AL:$AL,0))</f>
        <v>500</v>
      </c>
      <c r="G128" s="1">
        <f>INDEX(Data!Z:Z,MATCH($P128,Data!$AL:$AL,0))</f>
        <v>48</v>
      </c>
      <c r="H128" s="1">
        <f>INDEX(Data!AA:AA,MATCH($P128,Data!$AL:$AL,0))</f>
        <v>1000</v>
      </c>
      <c r="I128" s="1" t="str">
        <f>INDEX(Data!AB:AB,MATCH($P128,Data!$AL:$AL,0))</f>
        <v>[0.1, 0.2, 0.3, 0.4]</v>
      </c>
      <c r="J128" s="1" t="str">
        <f>INDEX(Data!V:V,MATCH($P128,Data!$AL:$AL,0))</f>
        <v>Adam</v>
      </c>
      <c r="K128" s="1" t="str">
        <f>INDEX(Data!W:W,MATCH($P128,Data!$AL:$AL,0))</f>
        <v>mean_squares</v>
      </c>
      <c r="L128" s="1" t="str">
        <f>INDEX(Data!X:X,MATCH($P128,Data!$AL:$AL,0))</f>
        <v>uniform</v>
      </c>
      <c r="M128" s="1" t="b">
        <f>INDEX(Data!AD:AD,MATCH($P128,Data!$AL:$AL,0))</f>
        <v>1</v>
      </c>
      <c r="N128" s="1" t="b">
        <f>INDEX(Data!AF:AF,MATCH($P128,Data!$AL:$AL,0))</f>
        <v>1</v>
      </c>
      <c r="O128" s="1">
        <f>INDEX(Data!Q:Q,MATCH($P128,Data!$AL:$AL,0))</f>
        <v>10</v>
      </c>
      <c r="P128" s="1" t="s">
        <v>85</v>
      </c>
      <c r="Q128" s="4" t="str">
        <f t="shared" si="1"/>
        <v>SPACL2024-01-21 20-12-59</v>
      </c>
    </row>
    <row r="129" spans="1:17" x14ac:dyDescent="0.25">
      <c r="A129" s="3">
        <v>128</v>
      </c>
      <c r="B129" s="218" t="s">
        <v>40</v>
      </c>
      <c r="C129" s="13">
        <f>INDEX(Data!M:M,MATCH(Q129,Data!AM:AM,0))</f>
        <v>89.583333330000002</v>
      </c>
      <c r="D129" s="194">
        <f>INDEX(Data!O:O,MATCH(Q129,Data!AM:AM,0))</f>
        <v>82.89</v>
      </c>
      <c r="E129" s="2">
        <f>INDEX(Data!T:T,MATCH($P129,Data!$AL:$AL,0))</f>
        <v>8</v>
      </c>
      <c r="F129" s="2">
        <f>INDEX(Data!P:P,MATCH($P129,Data!$AL:$AL,0))</f>
        <v>500</v>
      </c>
      <c r="G129" s="2">
        <f>INDEX(Data!Z:Z,MATCH($P129,Data!$AL:$AL,0))</f>
        <v>48</v>
      </c>
      <c r="H129" s="2">
        <f>INDEX(Data!AA:AA,MATCH($P129,Data!$AL:$AL,0))</f>
        <v>1000</v>
      </c>
      <c r="I129" s="2" t="str">
        <f>INDEX(Data!AB:AB,MATCH($P129,Data!$AL:$AL,0))</f>
        <v>[0.1, 0.2, 0.3, 0.4]</v>
      </c>
      <c r="J129" s="2" t="str">
        <f>INDEX(Data!V:V,MATCH($P129,Data!$AL:$AL,0))</f>
        <v>Adam</v>
      </c>
      <c r="K129" s="2" t="str">
        <f>INDEX(Data!W:W,MATCH($P129,Data!$AL:$AL,0))</f>
        <v>cross_entropy</v>
      </c>
      <c r="L129" s="2" t="str">
        <f>INDEX(Data!X:X,MATCH($P129,Data!$AL:$AL,0))</f>
        <v>uniform</v>
      </c>
      <c r="M129" s="2" t="b">
        <f>INDEX(Data!AD:AD,MATCH($P129,Data!$AL:$AL,0))</f>
        <v>1</v>
      </c>
      <c r="N129" s="2" t="b">
        <f>INDEX(Data!AF:AF,MATCH($P129,Data!$AL:$AL,0))</f>
        <v>1</v>
      </c>
      <c r="O129" s="2">
        <f>INDEX(Data!Q:Q,MATCH($P129,Data!$AL:$AL,0))</f>
        <v>10</v>
      </c>
      <c r="P129" t="s">
        <v>86</v>
      </c>
      <c r="Q129" s="3" t="str">
        <f t="shared" si="1"/>
        <v>NCL2024-01-21 20-14-01</v>
      </c>
    </row>
    <row r="130" spans="1:17" x14ac:dyDescent="0.25">
      <c r="A130" s="3">
        <v>129</v>
      </c>
      <c r="B130" s="216" t="s">
        <v>41</v>
      </c>
      <c r="C130" s="11">
        <f>INDEX(Data!M:M,MATCH(Q130,Data!AM:AM,0))</f>
        <v>84.375</v>
      </c>
      <c r="D130" s="16">
        <f>INDEX(Data!O:O,MATCH(Q130,Data!AM:AM,0))</f>
        <v>78.09</v>
      </c>
      <c r="E130">
        <f>INDEX(Data!T:T,MATCH($P130,Data!$AL:$AL,0))</f>
        <v>8</v>
      </c>
      <c r="F130">
        <f>INDEX(Data!P:P,MATCH($P130,Data!$AL:$AL,0))</f>
        <v>500</v>
      </c>
      <c r="G130">
        <f>INDEX(Data!Z:Z,MATCH($P130,Data!$AL:$AL,0))</f>
        <v>48</v>
      </c>
      <c r="H130">
        <f>INDEX(Data!AA:AA,MATCH($P130,Data!$AL:$AL,0))</f>
        <v>1000</v>
      </c>
      <c r="I130" t="str">
        <f>INDEX(Data!AB:AB,MATCH($P130,Data!$AL:$AL,0))</f>
        <v>[0.1, 0.2, 0.3, 0.4]</v>
      </c>
      <c r="J130" t="str">
        <f>INDEX(Data!V:V,MATCH($P130,Data!$AL:$AL,0))</f>
        <v>Adam</v>
      </c>
      <c r="K130" t="str">
        <f>INDEX(Data!W:W,MATCH($P130,Data!$AL:$AL,0))</f>
        <v>cross_entropy</v>
      </c>
      <c r="L130" t="str">
        <f>INDEX(Data!X:X,MATCH($P130,Data!$AL:$AL,0))</f>
        <v>uniform</v>
      </c>
      <c r="M130" t="b">
        <f>INDEX(Data!AD:AD,MATCH($P130,Data!$AL:$AL,0))</f>
        <v>1</v>
      </c>
      <c r="N130" t="b">
        <f>INDEX(Data!AF:AF,MATCH($P130,Data!$AL:$AL,0))</f>
        <v>1</v>
      </c>
      <c r="O130">
        <f>INDEX(Data!Q:Q,MATCH($P130,Data!$AL:$AL,0))</f>
        <v>10</v>
      </c>
      <c r="P130" t="s">
        <v>86</v>
      </c>
      <c r="Q130" s="3" t="str">
        <f t="shared" ref="Q130:Q185" si="2">_xlfn.CONCAT(B130,P130)</f>
        <v>CL2024-01-21 20-14-01</v>
      </c>
    </row>
    <row r="131" spans="1:17" x14ac:dyDescent="0.25">
      <c r="A131" s="3">
        <v>130</v>
      </c>
      <c r="B131" s="216" t="s">
        <v>42</v>
      </c>
      <c r="C131" s="15">
        <f>INDEX(Data!M:M,MATCH(Q131,Data!AM:AM,0))</f>
        <v>93.333333330000002</v>
      </c>
      <c r="D131" s="15">
        <f>INDEX(Data!O:O,MATCH(Q131,Data!AM:AM,0))</f>
        <v>83.4</v>
      </c>
      <c r="E131">
        <f>INDEX(Data!T:T,MATCH($P131,Data!$AL:$AL,0))</f>
        <v>8</v>
      </c>
      <c r="F131">
        <f>INDEX(Data!P:P,MATCH($P131,Data!$AL:$AL,0))</f>
        <v>500</v>
      </c>
      <c r="G131">
        <f>INDEX(Data!Z:Z,MATCH($P131,Data!$AL:$AL,0))</f>
        <v>48</v>
      </c>
      <c r="H131">
        <f>INDEX(Data!AA:AA,MATCH($P131,Data!$AL:$AL,0))</f>
        <v>1000</v>
      </c>
      <c r="I131" t="str">
        <f>INDEX(Data!AB:AB,MATCH($P131,Data!$AL:$AL,0))</f>
        <v>[0.1, 0.2, 0.3, 0.4]</v>
      </c>
      <c r="J131" t="str">
        <f>INDEX(Data!V:V,MATCH($P131,Data!$AL:$AL,0))</f>
        <v>Adam</v>
      </c>
      <c r="K131" t="str">
        <f>INDEX(Data!W:W,MATCH($P131,Data!$AL:$AL,0))</f>
        <v>cross_entropy</v>
      </c>
      <c r="L131" t="str">
        <f>INDEX(Data!X:X,MATCH($P131,Data!$AL:$AL,0))</f>
        <v>uniform</v>
      </c>
      <c r="M131" t="b">
        <f>INDEX(Data!AD:AD,MATCH($P131,Data!$AL:$AL,0))</f>
        <v>1</v>
      </c>
      <c r="N131" t="b">
        <f>INDEX(Data!AF:AF,MATCH($P131,Data!$AL:$AL,0))</f>
        <v>1</v>
      </c>
      <c r="O131">
        <f>INDEX(Data!Q:Q,MATCH($P131,Data!$AL:$AL,0))</f>
        <v>10</v>
      </c>
      <c r="P131" t="s">
        <v>86</v>
      </c>
      <c r="Q131" s="3" t="str">
        <f t="shared" si="2"/>
        <v>ACL2024-01-21 20-14-01</v>
      </c>
    </row>
    <row r="132" spans="1:17" x14ac:dyDescent="0.25">
      <c r="A132" s="3">
        <v>131</v>
      </c>
      <c r="B132" s="216" t="s">
        <v>43</v>
      </c>
      <c r="C132" s="195">
        <f>INDEX(Data!M:M,MATCH(Q132,Data!AM:AM,0))</f>
        <v>86.458333330000002</v>
      </c>
      <c r="D132" s="10">
        <f>INDEX(Data!O:O,MATCH(Q132,Data!AM:AM,0))</f>
        <v>81</v>
      </c>
      <c r="E132">
        <f>INDEX(Data!T:T,MATCH($P132,Data!$AL:$AL,0))</f>
        <v>8</v>
      </c>
      <c r="F132">
        <f>INDEX(Data!P:P,MATCH($P132,Data!$AL:$AL,0))</f>
        <v>500</v>
      </c>
      <c r="G132">
        <f>INDEX(Data!Z:Z,MATCH($P132,Data!$AL:$AL,0))</f>
        <v>48</v>
      </c>
      <c r="H132">
        <f>INDEX(Data!AA:AA,MATCH($P132,Data!$AL:$AL,0))</f>
        <v>1000</v>
      </c>
      <c r="I132" t="str">
        <f>INDEX(Data!AB:AB,MATCH($P132,Data!$AL:$AL,0))</f>
        <v>[0.1, 0.2, 0.3, 0.4]</v>
      </c>
      <c r="J132" t="str">
        <f>INDEX(Data!V:V,MATCH($P132,Data!$AL:$AL,0))</f>
        <v>Adam</v>
      </c>
      <c r="K132" t="str">
        <f>INDEX(Data!W:W,MATCH($P132,Data!$AL:$AL,0))</f>
        <v>cross_entropy</v>
      </c>
      <c r="L132" t="str">
        <f>INDEX(Data!X:X,MATCH($P132,Data!$AL:$AL,0))</f>
        <v>uniform</v>
      </c>
      <c r="M132" t="b">
        <f>INDEX(Data!AD:AD,MATCH($P132,Data!$AL:$AL,0))</f>
        <v>1</v>
      </c>
      <c r="N132" t="b">
        <f>INDEX(Data!AF:AF,MATCH($P132,Data!$AL:$AL,0))</f>
        <v>1</v>
      </c>
      <c r="O132">
        <f>INDEX(Data!Q:Q,MATCH($P132,Data!$AL:$AL,0))</f>
        <v>10</v>
      </c>
      <c r="P132" t="s">
        <v>86</v>
      </c>
      <c r="Q132" s="3" t="str">
        <f t="shared" si="2"/>
        <v>SPCL2024-01-21 20-14-01</v>
      </c>
    </row>
    <row r="133" spans="1:17" x14ac:dyDescent="0.25">
      <c r="A133" s="4">
        <v>132</v>
      </c>
      <c r="B133" s="217" t="s">
        <v>44</v>
      </c>
      <c r="C133" s="196">
        <f>INDEX(Data!M:M,MATCH(Q133,Data!AM:AM,0))</f>
        <v>90.625</v>
      </c>
      <c r="D133" s="36">
        <f>INDEX(Data!O:O,MATCH(Q133,Data!AM:AM,0))</f>
        <v>77.83</v>
      </c>
      <c r="E133" s="1">
        <f>INDEX(Data!T:T,MATCH($P133,Data!$AL:$AL,0))</f>
        <v>8</v>
      </c>
      <c r="F133" s="1">
        <f>INDEX(Data!P:P,MATCH($P133,Data!$AL:$AL,0))</f>
        <v>500</v>
      </c>
      <c r="G133" s="1">
        <f>INDEX(Data!Z:Z,MATCH($P133,Data!$AL:$AL,0))</f>
        <v>48</v>
      </c>
      <c r="H133" s="1">
        <f>INDEX(Data!AA:AA,MATCH($P133,Data!$AL:$AL,0))</f>
        <v>1000</v>
      </c>
      <c r="I133" s="1" t="str">
        <f>INDEX(Data!AB:AB,MATCH($P133,Data!$AL:$AL,0))</f>
        <v>[0.1, 0.2, 0.3, 0.4]</v>
      </c>
      <c r="J133" s="1" t="str">
        <f>INDEX(Data!V:V,MATCH($P133,Data!$AL:$AL,0))</f>
        <v>Adam</v>
      </c>
      <c r="K133" s="1" t="str">
        <f>INDEX(Data!W:W,MATCH($P133,Data!$AL:$AL,0))</f>
        <v>cross_entropy</v>
      </c>
      <c r="L133" s="1" t="str">
        <f>INDEX(Data!X:X,MATCH($P133,Data!$AL:$AL,0))</f>
        <v>uniform</v>
      </c>
      <c r="M133" s="1" t="b">
        <f>INDEX(Data!AD:AD,MATCH($P133,Data!$AL:$AL,0))</f>
        <v>1</v>
      </c>
      <c r="N133" s="1" t="b">
        <f>INDEX(Data!AF:AF,MATCH($P133,Data!$AL:$AL,0))</f>
        <v>1</v>
      </c>
      <c r="O133" s="1">
        <f>INDEX(Data!Q:Q,MATCH($P133,Data!$AL:$AL,0))</f>
        <v>10</v>
      </c>
      <c r="P133" s="1" t="s">
        <v>86</v>
      </c>
      <c r="Q133" s="4" t="str">
        <f t="shared" si="2"/>
        <v>SPACL2024-01-21 20-14-01</v>
      </c>
    </row>
    <row r="134" spans="1:17" x14ac:dyDescent="0.25">
      <c r="A134" s="3">
        <v>133</v>
      </c>
      <c r="B134" s="218" t="s">
        <v>40</v>
      </c>
      <c r="C134" s="197">
        <f>INDEX(Data!M:M,MATCH(Q134,Data!AM:AM,0))</f>
        <v>86.666666669999998</v>
      </c>
      <c r="D134" s="13">
        <f>INDEX(Data!O:O,MATCH(Q134,Data!AM:AM,0))</f>
        <v>80.48</v>
      </c>
      <c r="E134" s="2">
        <f>INDEX(Data!T:T,MATCH($P134,Data!$AL:$AL,0))</f>
        <v>8</v>
      </c>
      <c r="F134" s="2">
        <f>INDEX(Data!P:P,MATCH($P134,Data!$AL:$AL,0))</f>
        <v>500</v>
      </c>
      <c r="G134" s="2">
        <f>INDEX(Data!Z:Z,MATCH($P134,Data!$AL:$AL,0))</f>
        <v>48</v>
      </c>
      <c r="H134" s="2">
        <f>INDEX(Data!AA:AA,MATCH($P134,Data!$AL:$AL,0))</f>
        <v>1000</v>
      </c>
      <c r="I134" s="2" t="str">
        <f>INDEX(Data!AB:AB,MATCH($P134,Data!$AL:$AL,0))</f>
        <v>[0.1, 0.2, 0.3, 0.4]</v>
      </c>
      <c r="J134" s="2" t="str">
        <f>INDEX(Data!V:V,MATCH($P134,Data!$AL:$AL,0))</f>
        <v>Adam</v>
      </c>
      <c r="K134" s="2" t="str">
        <f>INDEX(Data!W:W,MATCH($P134,Data!$AL:$AL,0))</f>
        <v>cross_entropy</v>
      </c>
      <c r="L134" s="2" t="str">
        <f>INDEX(Data!X:X,MATCH($P134,Data!$AL:$AL,0))</f>
        <v>uniform</v>
      </c>
      <c r="M134" s="2" t="b">
        <f>INDEX(Data!AD:AD,MATCH($P134,Data!$AL:$AL,0))</f>
        <v>0</v>
      </c>
      <c r="N134" s="2" t="b">
        <f>INDEX(Data!AF:AF,MATCH($P134,Data!$AL:$AL,0))</f>
        <v>1</v>
      </c>
      <c r="O134" s="2">
        <f>INDEX(Data!Q:Q,MATCH($P134,Data!$AL:$AL,0))</f>
        <v>10</v>
      </c>
      <c r="P134" t="s">
        <v>87</v>
      </c>
      <c r="Q134" s="3" t="str">
        <f t="shared" si="2"/>
        <v>NCL2024-01-21 21-21-06</v>
      </c>
    </row>
    <row r="135" spans="1:17" x14ac:dyDescent="0.25">
      <c r="A135" s="3">
        <v>134</v>
      </c>
      <c r="B135" s="216" t="s">
        <v>41</v>
      </c>
      <c r="C135" s="11">
        <f>INDEX(Data!M:M,MATCH(Q135,Data!AM:AM,0))</f>
        <v>83.125</v>
      </c>
      <c r="D135" s="11">
        <f>INDEX(Data!O:O,MATCH(Q135,Data!AM:AM,0))</f>
        <v>78.89</v>
      </c>
      <c r="E135">
        <f>INDEX(Data!T:T,MATCH($P135,Data!$AL:$AL,0))</f>
        <v>8</v>
      </c>
      <c r="F135">
        <f>INDEX(Data!P:P,MATCH($P135,Data!$AL:$AL,0))</f>
        <v>500</v>
      </c>
      <c r="G135">
        <f>INDEX(Data!Z:Z,MATCH($P135,Data!$AL:$AL,0))</f>
        <v>48</v>
      </c>
      <c r="H135">
        <f>INDEX(Data!AA:AA,MATCH($P135,Data!$AL:$AL,0))</f>
        <v>1000</v>
      </c>
      <c r="I135" t="str">
        <f>INDEX(Data!AB:AB,MATCH($P135,Data!$AL:$AL,0))</f>
        <v>[0.1, 0.2, 0.3, 0.4]</v>
      </c>
      <c r="J135" t="str">
        <f>INDEX(Data!V:V,MATCH($P135,Data!$AL:$AL,0))</f>
        <v>Adam</v>
      </c>
      <c r="K135" t="str">
        <f>INDEX(Data!W:W,MATCH($P135,Data!$AL:$AL,0))</f>
        <v>cross_entropy</v>
      </c>
      <c r="L135" t="str">
        <f>INDEX(Data!X:X,MATCH($P135,Data!$AL:$AL,0))</f>
        <v>uniform</v>
      </c>
      <c r="M135" t="b">
        <f>INDEX(Data!AD:AD,MATCH($P135,Data!$AL:$AL,0))</f>
        <v>0</v>
      </c>
      <c r="N135" t="b">
        <f>INDEX(Data!AF:AF,MATCH($P135,Data!$AL:$AL,0))</f>
        <v>1</v>
      </c>
      <c r="O135">
        <f>INDEX(Data!Q:Q,MATCH($P135,Data!$AL:$AL,0))</f>
        <v>10</v>
      </c>
      <c r="P135" t="s">
        <v>87</v>
      </c>
      <c r="Q135" s="3" t="str">
        <f t="shared" si="2"/>
        <v>CL2024-01-21 21-21-06</v>
      </c>
    </row>
    <row r="136" spans="1:17" x14ac:dyDescent="0.25">
      <c r="A136" s="3">
        <v>135</v>
      </c>
      <c r="B136" s="216" t="s">
        <v>42</v>
      </c>
      <c r="C136" s="15">
        <f>INDEX(Data!M:M,MATCH(Q136,Data!AM:AM,0))</f>
        <v>90</v>
      </c>
      <c r="D136" s="15">
        <f>INDEX(Data!O:O,MATCH(Q136,Data!AM:AM,0))</f>
        <v>85.2</v>
      </c>
      <c r="E136">
        <f>INDEX(Data!T:T,MATCH($P136,Data!$AL:$AL,0))</f>
        <v>8</v>
      </c>
      <c r="F136">
        <f>INDEX(Data!P:P,MATCH($P136,Data!$AL:$AL,0))</f>
        <v>500</v>
      </c>
      <c r="G136">
        <f>INDEX(Data!Z:Z,MATCH($P136,Data!$AL:$AL,0))</f>
        <v>48</v>
      </c>
      <c r="H136">
        <f>INDEX(Data!AA:AA,MATCH($P136,Data!$AL:$AL,0))</f>
        <v>1000</v>
      </c>
      <c r="I136" t="str">
        <f>INDEX(Data!AB:AB,MATCH($P136,Data!$AL:$AL,0))</f>
        <v>[0.1, 0.2, 0.3, 0.4]</v>
      </c>
      <c r="J136" t="str">
        <f>INDEX(Data!V:V,MATCH($P136,Data!$AL:$AL,0))</f>
        <v>Adam</v>
      </c>
      <c r="K136" t="str">
        <f>INDEX(Data!W:W,MATCH($P136,Data!$AL:$AL,0))</f>
        <v>cross_entropy</v>
      </c>
      <c r="L136" t="str">
        <f>INDEX(Data!X:X,MATCH($P136,Data!$AL:$AL,0))</f>
        <v>uniform</v>
      </c>
      <c r="M136" t="b">
        <f>INDEX(Data!AD:AD,MATCH($P136,Data!$AL:$AL,0))</f>
        <v>0</v>
      </c>
      <c r="N136" t="b">
        <f>INDEX(Data!AF:AF,MATCH($P136,Data!$AL:$AL,0))</f>
        <v>1</v>
      </c>
      <c r="O136">
        <f>INDEX(Data!Q:Q,MATCH($P136,Data!$AL:$AL,0))</f>
        <v>10</v>
      </c>
      <c r="P136" t="s">
        <v>87</v>
      </c>
      <c r="Q136" s="3" t="str">
        <f t="shared" si="2"/>
        <v>ACL2024-01-21 21-21-06</v>
      </c>
    </row>
    <row r="137" spans="1:17" x14ac:dyDescent="0.25">
      <c r="A137" s="3">
        <v>136</v>
      </c>
      <c r="B137" s="216" t="s">
        <v>43</v>
      </c>
      <c r="C137" s="10">
        <f>INDEX(Data!M:M,MATCH(Q137,Data!AM:AM,0))</f>
        <v>84.166666669999998</v>
      </c>
      <c r="D137" s="198">
        <f>INDEX(Data!O:O,MATCH(Q137,Data!AM:AM,0))</f>
        <v>79.569999999999993</v>
      </c>
      <c r="E137">
        <f>INDEX(Data!T:T,MATCH($P137,Data!$AL:$AL,0))</f>
        <v>8</v>
      </c>
      <c r="F137">
        <f>INDEX(Data!P:P,MATCH($P137,Data!$AL:$AL,0))</f>
        <v>500</v>
      </c>
      <c r="G137">
        <f>INDEX(Data!Z:Z,MATCH($P137,Data!$AL:$AL,0))</f>
        <v>48</v>
      </c>
      <c r="H137">
        <f>INDEX(Data!AA:AA,MATCH($P137,Data!$AL:$AL,0))</f>
        <v>1000</v>
      </c>
      <c r="I137" t="str">
        <f>INDEX(Data!AB:AB,MATCH($P137,Data!$AL:$AL,0))</f>
        <v>[0.1, 0.2, 0.3, 0.4]</v>
      </c>
      <c r="J137" t="str">
        <f>INDEX(Data!V:V,MATCH($P137,Data!$AL:$AL,0))</f>
        <v>Adam</v>
      </c>
      <c r="K137" t="str">
        <f>INDEX(Data!W:W,MATCH($P137,Data!$AL:$AL,0))</f>
        <v>cross_entropy</v>
      </c>
      <c r="L137" t="str">
        <f>INDEX(Data!X:X,MATCH($P137,Data!$AL:$AL,0))</f>
        <v>uniform</v>
      </c>
      <c r="M137" t="b">
        <f>INDEX(Data!AD:AD,MATCH($P137,Data!$AL:$AL,0))</f>
        <v>0</v>
      </c>
      <c r="N137" t="b">
        <f>INDEX(Data!AF:AF,MATCH($P137,Data!$AL:$AL,0))</f>
        <v>1</v>
      </c>
      <c r="O137">
        <f>INDEX(Data!Q:Q,MATCH($P137,Data!$AL:$AL,0))</f>
        <v>10</v>
      </c>
      <c r="P137" t="s">
        <v>87</v>
      </c>
      <c r="Q137" s="3" t="str">
        <f t="shared" si="2"/>
        <v>SPCL2024-01-21 21-21-06</v>
      </c>
    </row>
    <row r="138" spans="1:17" x14ac:dyDescent="0.25">
      <c r="A138" s="4">
        <v>137</v>
      </c>
      <c r="B138" s="217" t="s">
        <v>44</v>
      </c>
      <c r="C138" s="199">
        <f>INDEX(Data!M:M,MATCH(Q138,Data!AM:AM,0))</f>
        <v>83.958333330000002</v>
      </c>
      <c r="D138" s="200">
        <f>INDEX(Data!O:O,MATCH(Q138,Data!AM:AM,0))</f>
        <v>80.58</v>
      </c>
      <c r="E138" s="1">
        <f>INDEX(Data!T:T,MATCH($P138,Data!$AL:$AL,0))</f>
        <v>8</v>
      </c>
      <c r="F138" s="1">
        <f>INDEX(Data!P:P,MATCH($P138,Data!$AL:$AL,0))</f>
        <v>500</v>
      </c>
      <c r="G138" s="1">
        <f>INDEX(Data!Z:Z,MATCH($P138,Data!$AL:$AL,0))</f>
        <v>48</v>
      </c>
      <c r="H138" s="1">
        <f>INDEX(Data!AA:AA,MATCH($P138,Data!$AL:$AL,0))</f>
        <v>1000</v>
      </c>
      <c r="I138" s="1" t="str">
        <f>INDEX(Data!AB:AB,MATCH($P138,Data!$AL:$AL,0))</f>
        <v>[0.1, 0.2, 0.3, 0.4]</v>
      </c>
      <c r="J138" s="1" t="str">
        <f>INDEX(Data!V:V,MATCH($P138,Data!$AL:$AL,0))</f>
        <v>Adam</v>
      </c>
      <c r="K138" s="1" t="str">
        <f>INDEX(Data!W:W,MATCH($P138,Data!$AL:$AL,0))</f>
        <v>cross_entropy</v>
      </c>
      <c r="L138" s="1" t="str">
        <f>INDEX(Data!X:X,MATCH($P138,Data!$AL:$AL,0))</f>
        <v>uniform</v>
      </c>
      <c r="M138" s="1" t="b">
        <f>INDEX(Data!AD:AD,MATCH($P138,Data!$AL:$AL,0))</f>
        <v>0</v>
      </c>
      <c r="N138" s="1" t="b">
        <f>INDEX(Data!AF:AF,MATCH($P138,Data!$AL:$AL,0))</f>
        <v>1</v>
      </c>
      <c r="O138" s="1">
        <f>INDEX(Data!Q:Q,MATCH($P138,Data!$AL:$AL,0))</f>
        <v>10</v>
      </c>
      <c r="P138" s="1" t="s">
        <v>87</v>
      </c>
      <c r="Q138" s="4" t="str">
        <f t="shared" si="2"/>
        <v>SPACL2024-01-21 21-21-06</v>
      </c>
    </row>
    <row r="139" spans="1:17" x14ac:dyDescent="0.25">
      <c r="A139" s="3">
        <v>138</v>
      </c>
      <c r="B139" s="218" t="s">
        <v>40</v>
      </c>
      <c r="C139" s="201">
        <f>INDEX(Data!M:M,MATCH(Q139,Data!AM:AM,0))</f>
        <v>85.416666669999998</v>
      </c>
      <c r="D139" s="202">
        <f>INDEX(Data!O:O,MATCH(Q139,Data!AM:AM,0))</f>
        <v>84.33</v>
      </c>
      <c r="E139" s="2">
        <f>INDEX(Data!T:T,MATCH($P139,Data!$AL:$AL,0))</f>
        <v>8</v>
      </c>
      <c r="F139" s="2">
        <f>INDEX(Data!P:P,MATCH($P139,Data!$AL:$AL,0))</f>
        <v>500</v>
      </c>
      <c r="G139" s="2">
        <f>INDEX(Data!Z:Z,MATCH($P139,Data!$AL:$AL,0))</f>
        <v>48</v>
      </c>
      <c r="H139" s="2">
        <f>INDEX(Data!AA:AA,MATCH($P139,Data!$AL:$AL,0))</f>
        <v>1000</v>
      </c>
      <c r="I139" s="2" t="str">
        <f>INDEX(Data!AB:AB,MATCH($P139,Data!$AL:$AL,0))</f>
        <v>[0.1, 0.2, 0.3, 0.4]</v>
      </c>
      <c r="J139" s="2" t="str">
        <f>INDEX(Data!V:V,MATCH($P139,Data!$AL:$AL,0))</f>
        <v>Adam</v>
      </c>
      <c r="K139" s="2" t="str">
        <f>INDEX(Data!W:W,MATCH($P139,Data!$AL:$AL,0))</f>
        <v>mean_squares</v>
      </c>
      <c r="L139" s="2" t="str">
        <f>INDEX(Data!X:X,MATCH($P139,Data!$AL:$AL,0))</f>
        <v>uniform</v>
      </c>
      <c r="M139" s="2" t="b">
        <f>INDEX(Data!AD:AD,MATCH($P139,Data!$AL:$AL,0))</f>
        <v>0</v>
      </c>
      <c r="N139" s="2" t="b">
        <f>INDEX(Data!AF:AF,MATCH($P139,Data!$AL:$AL,0))</f>
        <v>1</v>
      </c>
      <c r="O139" s="2">
        <f>INDEX(Data!Q:Q,MATCH($P139,Data!$AL:$AL,0))</f>
        <v>10</v>
      </c>
      <c r="P139" t="s">
        <v>88</v>
      </c>
      <c r="Q139" s="3" t="str">
        <f t="shared" si="2"/>
        <v>NCL2024-01-21 21-22-03</v>
      </c>
    </row>
    <row r="140" spans="1:17" x14ac:dyDescent="0.25">
      <c r="A140" s="3">
        <v>139</v>
      </c>
      <c r="B140" s="216" t="s">
        <v>41</v>
      </c>
      <c r="C140" s="11">
        <f>INDEX(Data!M:M,MATCH(Q140,Data!AM:AM,0))</f>
        <v>81.25</v>
      </c>
      <c r="D140" s="11">
        <f>INDEX(Data!O:O,MATCH(Q140,Data!AM:AM,0))</f>
        <v>79.62</v>
      </c>
      <c r="E140">
        <f>INDEX(Data!T:T,MATCH($P140,Data!$AL:$AL,0))</f>
        <v>8</v>
      </c>
      <c r="F140">
        <f>INDEX(Data!P:P,MATCH($P140,Data!$AL:$AL,0))</f>
        <v>500</v>
      </c>
      <c r="G140">
        <f>INDEX(Data!Z:Z,MATCH($P140,Data!$AL:$AL,0))</f>
        <v>48</v>
      </c>
      <c r="H140">
        <f>INDEX(Data!AA:AA,MATCH($P140,Data!$AL:$AL,0))</f>
        <v>1000</v>
      </c>
      <c r="I140" t="str">
        <f>INDEX(Data!AB:AB,MATCH($P140,Data!$AL:$AL,0))</f>
        <v>[0.1, 0.2, 0.3, 0.4]</v>
      </c>
      <c r="J140" t="str">
        <f>INDEX(Data!V:V,MATCH($P140,Data!$AL:$AL,0))</f>
        <v>Adam</v>
      </c>
      <c r="K140" t="str">
        <f>INDEX(Data!W:W,MATCH($P140,Data!$AL:$AL,0))</f>
        <v>mean_squares</v>
      </c>
      <c r="L140" t="str">
        <f>INDEX(Data!X:X,MATCH($P140,Data!$AL:$AL,0))</f>
        <v>uniform</v>
      </c>
      <c r="M140" t="b">
        <f>INDEX(Data!AD:AD,MATCH($P140,Data!$AL:$AL,0))</f>
        <v>0</v>
      </c>
      <c r="N140" t="b">
        <f>INDEX(Data!AF:AF,MATCH($P140,Data!$AL:$AL,0))</f>
        <v>1</v>
      </c>
      <c r="O140">
        <f>INDEX(Data!Q:Q,MATCH($P140,Data!$AL:$AL,0))</f>
        <v>10</v>
      </c>
      <c r="P140" t="s">
        <v>88</v>
      </c>
      <c r="Q140" s="3" t="str">
        <f t="shared" si="2"/>
        <v>CL2024-01-21 21-22-03</v>
      </c>
    </row>
    <row r="141" spans="1:17" x14ac:dyDescent="0.25">
      <c r="A141" s="3">
        <v>140</v>
      </c>
      <c r="B141" s="216" t="s">
        <v>42</v>
      </c>
      <c r="C141" s="15">
        <f>INDEX(Data!M:M,MATCH(Q141,Data!AM:AM,0))</f>
        <v>91.25</v>
      </c>
      <c r="D141" s="15">
        <f>INDEX(Data!O:O,MATCH(Q141,Data!AM:AM,0))</f>
        <v>86.65</v>
      </c>
      <c r="E141">
        <f>INDEX(Data!T:T,MATCH($P141,Data!$AL:$AL,0))</f>
        <v>8</v>
      </c>
      <c r="F141">
        <f>INDEX(Data!P:P,MATCH($P141,Data!$AL:$AL,0))</f>
        <v>500</v>
      </c>
      <c r="G141">
        <f>INDEX(Data!Z:Z,MATCH($P141,Data!$AL:$AL,0))</f>
        <v>48</v>
      </c>
      <c r="H141">
        <f>INDEX(Data!AA:AA,MATCH($P141,Data!$AL:$AL,0))</f>
        <v>1000</v>
      </c>
      <c r="I141" t="str">
        <f>INDEX(Data!AB:AB,MATCH($P141,Data!$AL:$AL,0))</f>
        <v>[0.1, 0.2, 0.3, 0.4]</v>
      </c>
      <c r="J141" t="str">
        <f>INDEX(Data!V:V,MATCH($P141,Data!$AL:$AL,0))</f>
        <v>Adam</v>
      </c>
      <c r="K141" t="str">
        <f>INDEX(Data!W:W,MATCH($P141,Data!$AL:$AL,0))</f>
        <v>mean_squares</v>
      </c>
      <c r="L141" t="str">
        <f>INDEX(Data!X:X,MATCH($P141,Data!$AL:$AL,0))</f>
        <v>uniform</v>
      </c>
      <c r="M141" t="b">
        <f>INDEX(Data!AD:AD,MATCH($P141,Data!$AL:$AL,0))</f>
        <v>0</v>
      </c>
      <c r="N141" t="b">
        <f>INDEX(Data!AF:AF,MATCH($P141,Data!$AL:$AL,0))</f>
        <v>1</v>
      </c>
      <c r="O141">
        <f>INDEX(Data!Q:Q,MATCH($P141,Data!$AL:$AL,0))</f>
        <v>10</v>
      </c>
      <c r="P141" t="s">
        <v>88</v>
      </c>
      <c r="Q141" s="3" t="str">
        <f t="shared" si="2"/>
        <v>ACL2024-01-21 21-22-03</v>
      </c>
    </row>
    <row r="142" spans="1:17" x14ac:dyDescent="0.25">
      <c r="A142" s="3">
        <v>141</v>
      </c>
      <c r="B142" s="216" t="s">
        <v>43</v>
      </c>
      <c r="C142" s="10">
        <f>INDEX(Data!M:M,MATCH(Q142,Data!AM:AM,0))</f>
        <v>83.541666669999998</v>
      </c>
      <c r="D142" s="10">
        <f>INDEX(Data!O:O,MATCH(Q142,Data!AM:AM,0))</f>
        <v>81.489999999999995</v>
      </c>
      <c r="E142">
        <f>INDEX(Data!T:T,MATCH($P142,Data!$AL:$AL,0))</f>
        <v>8</v>
      </c>
      <c r="F142">
        <f>INDEX(Data!P:P,MATCH($P142,Data!$AL:$AL,0))</f>
        <v>500</v>
      </c>
      <c r="G142">
        <f>INDEX(Data!Z:Z,MATCH($P142,Data!$AL:$AL,0))</f>
        <v>48</v>
      </c>
      <c r="H142">
        <f>INDEX(Data!AA:AA,MATCH($P142,Data!$AL:$AL,0))</f>
        <v>1000</v>
      </c>
      <c r="I142" t="str">
        <f>INDEX(Data!AB:AB,MATCH($P142,Data!$AL:$AL,0))</f>
        <v>[0.1, 0.2, 0.3, 0.4]</v>
      </c>
      <c r="J142" t="str">
        <f>INDEX(Data!V:V,MATCH($P142,Data!$AL:$AL,0))</f>
        <v>Adam</v>
      </c>
      <c r="K142" t="str">
        <f>INDEX(Data!W:W,MATCH($P142,Data!$AL:$AL,0))</f>
        <v>mean_squares</v>
      </c>
      <c r="L142" t="str">
        <f>INDEX(Data!X:X,MATCH($P142,Data!$AL:$AL,0))</f>
        <v>uniform</v>
      </c>
      <c r="M142" t="b">
        <f>INDEX(Data!AD:AD,MATCH($P142,Data!$AL:$AL,0))</f>
        <v>0</v>
      </c>
      <c r="N142" t="b">
        <f>INDEX(Data!AF:AF,MATCH($P142,Data!$AL:$AL,0))</f>
        <v>1</v>
      </c>
      <c r="O142">
        <f>INDEX(Data!Q:Q,MATCH($P142,Data!$AL:$AL,0))</f>
        <v>10</v>
      </c>
      <c r="P142" t="s">
        <v>88</v>
      </c>
      <c r="Q142" s="3" t="str">
        <f t="shared" si="2"/>
        <v>SPCL2024-01-21 21-22-03</v>
      </c>
    </row>
    <row r="143" spans="1:17" x14ac:dyDescent="0.25">
      <c r="A143" s="4">
        <v>142</v>
      </c>
      <c r="B143" s="217" t="s">
        <v>44</v>
      </c>
      <c r="C143" s="203">
        <f>INDEX(Data!M:M,MATCH(Q143,Data!AM:AM,0))</f>
        <v>83.125</v>
      </c>
      <c r="D143" s="203">
        <f>INDEX(Data!O:O,MATCH(Q143,Data!AM:AM,0))</f>
        <v>81.150000000000006</v>
      </c>
      <c r="E143" s="1">
        <f>INDEX(Data!T:T,MATCH($P143,Data!$AL:$AL,0))</f>
        <v>8</v>
      </c>
      <c r="F143" s="1">
        <f>INDEX(Data!P:P,MATCH($P143,Data!$AL:$AL,0))</f>
        <v>500</v>
      </c>
      <c r="G143" s="1">
        <f>INDEX(Data!Z:Z,MATCH($P143,Data!$AL:$AL,0))</f>
        <v>48</v>
      </c>
      <c r="H143" s="1">
        <f>INDEX(Data!AA:AA,MATCH($P143,Data!$AL:$AL,0))</f>
        <v>1000</v>
      </c>
      <c r="I143" s="1" t="str">
        <f>INDEX(Data!AB:AB,MATCH($P143,Data!$AL:$AL,0))</f>
        <v>[0.1, 0.2, 0.3, 0.4]</v>
      </c>
      <c r="J143" s="1" t="str">
        <f>INDEX(Data!V:V,MATCH($P143,Data!$AL:$AL,0))</f>
        <v>Adam</v>
      </c>
      <c r="K143" s="1" t="str">
        <f>INDEX(Data!W:W,MATCH($P143,Data!$AL:$AL,0))</f>
        <v>mean_squares</v>
      </c>
      <c r="L143" s="1" t="str">
        <f>INDEX(Data!X:X,MATCH($P143,Data!$AL:$AL,0))</f>
        <v>uniform</v>
      </c>
      <c r="M143" s="1" t="b">
        <f>INDEX(Data!AD:AD,MATCH($P143,Data!$AL:$AL,0))</f>
        <v>0</v>
      </c>
      <c r="N143" s="1" t="b">
        <f>INDEX(Data!AF:AF,MATCH($P143,Data!$AL:$AL,0))</f>
        <v>1</v>
      </c>
      <c r="O143" s="1">
        <f>INDEX(Data!Q:Q,MATCH($P143,Data!$AL:$AL,0))</f>
        <v>10</v>
      </c>
      <c r="P143" s="1" t="s">
        <v>88</v>
      </c>
      <c r="Q143" s="4" t="str">
        <f t="shared" si="2"/>
        <v>SPACL2024-01-21 21-22-03</v>
      </c>
    </row>
    <row r="144" spans="1:17" x14ac:dyDescent="0.25">
      <c r="A144" s="3">
        <v>143</v>
      </c>
      <c r="B144" s="218" t="s">
        <v>40</v>
      </c>
      <c r="C144" s="19">
        <f>INDEX(Data!M:M,MATCH(Q144,Data!AM:AM,0))</f>
        <v>96.875</v>
      </c>
      <c r="D144" s="13">
        <f>INDEX(Data!O:O,MATCH(Q144,Data!AM:AM,0))</f>
        <v>84.34</v>
      </c>
      <c r="E144" s="2">
        <f>INDEX(Data!T:T,MATCH($P144,Data!$AL:$AL,0))</f>
        <v>8</v>
      </c>
      <c r="F144" s="2">
        <f>INDEX(Data!P:P,MATCH($P144,Data!$AL:$AL,0))</f>
        <v>500</v>
      </c>
      <c r="G144" s="2">
        <f>INDEX(Data!Z:Z,MATCH($P144,Data!$AL:$AL,0))</f>
        <v>48</v>
      </c>
      <c r="H144" s="2">
        <f>INDEX(Data!AA:AA,MATCH($P144,Data!$AL:$AL,0))</f>
        <v>1000</v>
      </c>
      <c r="I144" s="2" t="str">
        <f>INDEX(Data!AB:AB,MATCH($P144,Data!$AL:$AL,0))</f>
        <v>[0.4, 0.3, 0.2, 0.1]</v>
      </c>
      <c r="J144" s="2" t="str">
        <f>INDEX(Data!V:V,MATCH($P144,Data!$AL:$AL,0))</f>
        <v>Adam</v>
      </c>
      <c r="K144" s="2" t="str">
        <f>INDEX(Data!W:W,MATCH($P144,Data!$AL:$AL,0))</f>
        <v>cross_entropy</v>
      </c>
      <c r="L144" s="2" t="str">
        <f>INDEX(Data!X:X,MATCH($P144,Data!$AL:$AL,0))</f>
        <v>uniform</v>
      </c>
      <c r="M144" s="2" t="b">
        <f>INDEX(Data!AD:AD,MATCH($P144,Data!$AL:$AL,0))</f>
        <v>1</v>
      </c>
      <c r="N144" s="2" t="b">
        <f>INDEX(Data!AF:AF,MATCH($P144,Data!$AL:$AL,0))</f>
        <v>1</v>
      </c>
      <c r="O144" s="2">
        <f>INDEX(Data!Q:Q,MATCH($P144,Data!$AL:$AL,0))</f>
        <v>10</v>
      </c>
      <c r="P144" t="s">
        <v>89</v>
      </c>
      <c r="Q144" s="3" t="str">
        <f t="shared" si="2"/>
        <v>NCL2024-01-21 22-26-34</v>
      </c>
    </row>
    <row r="145" spans="1:17" x14ac:dyDescent="0.25">
      <c r="A145" s="3">
        <v>144</v>
      </c>
      <c r="B145" s="216" t="s">
        <v>41</v>
      </c>
      <c r="C145" s="10">
        <f>INDEX(Data!M:M,MATCH(Q145,Data!AM:AM,0))</f>
        <v>95.833333330000002</v>
      </c>
      <c r="D145" s="204">
        <f>INDEX(Data!O:O,MATCH(Q145,Data!AM:AM,0))</f>
        <v>84.62</v>
      </c>
      <c r="E145">
        <f>INDEX(Data!T:T,MATCH($P145,Data!$AL:$AL,0))</f>
        <v>8</v>
      </c>
      <c r="F145">
        <f>INDEX(Data!P:P,MATCH($P145,Data!$AL:$AL,0))</f>
        <v>500</v>
      </c>
      <c r="G145">
        <f>INDEX(Data!Z:Z,MATCH($P145,Data!$AL:$AL,0))</f>
        <v>48</v>
      </c>
      <c r="H145">
        <f>INDEX(Data!AA:AA,MATCH($P145,Data!$AL:$AL,0))</f>
        <v>1000</v>
      </c>
      <c r="I145" t="str">
        <f>INDEX(Data!AB:AB,MATCH($P145,Data!$AL:$AL,0))</f>
        <v>[0.4, 0.3, 0.2, 0.1]</v>
      </c>
      <c r="J145" t="str">
        <f>INDEX(Data!V:V,MATCH($P145,Data!$AL:$AL,0))</f>
        <v>Adam</v>
      </c>
      <c r="K145" t="str">
        <f>INDEX(Data!W:W,MATCH($P145,Data!$AL:$AL,0))</f>
        <v>cross_entropy</v>
      </c>
      <c r="L145" t="str">
        <f>INDEX(Data!X:X,MATCH($P145,Data!$AL:$AL,0))</f>
        <v>uniform</v>
      </c>
      <c r="M145" t="b">
        <f>INDEX(Data!AD:AD,MATCH($P145,Data!$AL:$AL,0))</f>
        <v>1</v>
      </c>
      <c r="N145" t="b">
        <f>INDEX(Data!AF:AF,MATCH($P145,Data!$AL:$AL,0))</f>
        <v>1</v>
      </c>
      <c r="O145">
        <f>INDEX(Data!Q:Q,MATCH($P145,Data!$AL:$AL,0))</f>
        <v>10</v>
      </c>
      <c r="P145" t="s">
        <v>89</v>
      </c>
      <c r="Q145" s="3" t="str">
        <f t="shared" si="2"/>
        <v>CL2024-01-21 22-26-34</v>
      </c>
    </row>
    <row r="146" spans="1:17" x14ac:dyDescent="0.25">
      <c r="A146" s="3">
        <v>145</v>
      </c>
      <c r="B146" s="216" t="s">
        <v>42</v>
      </c>
      <c r="C146" s="11">
        <f>INDEX(Data!M:M,MATCH(Q146,Data!AM:AM,0))</f>
        <v>95</v>
      </c>
      <c r="D146" s="195">
        <f>INDEX(Data!O:O,MATCH(Q146,Data!AM:AM,0))</f>
        <v>83.48</v>
      </c>
      <c r="E146">
        <f>INDEX(Data!T:T,MATCH($P146,Data!$AL:$AL,0))</f>
        <v>8</v>
      </c>
      <c r="F146">
        <f>INDEX(Data!P:P,MATCH($P146,Data!$AL:$AL,0))</f>
        <v>500</v>
      </c>
      <c r="G146">
        <f>INDEX(Data!Z:Z,MATCH($P146,Data!$AL:$AL,0))</f>
        <v>48</v>
      </c>
      <c r="H146">
        <f>INDEX(Data!AA:AA,MATCH($P146,Data!$AL:$AL,0))</f>
        <v>1000</v>
      </c>
      <c r="I146" t="str">
        <f>INDEX(Data!AB:AB,MATCH($P146,Data!$AL:$AL,0))</f>
        <v>[0.4, 0.3, 0.2, 0.1]</v>
      </c>
      <c r="J146" t="str">
        <f>INDEX(Data!V:V,MATCH($P146,Data!$AL:$AL,0))</f>
        <v>Adam</v>
      </c>
      <c r="K146" t="str">
        <f>INDEX(Data!W:W,MATCH($P146,Data!$AL:$AL,0))</f>
        <v>cross_entropy</v>
      </c>
      <c r="L146" t="str">
        <f>INDEX(Data!X:X,MATCH($P146,Data!$AL:$AL,0))</f>
        <v>uniform</v>
      </c>
      <c r="M146" t="b">
        <f>INDEX(Data!AD:AD,MATCH($P146,Data!$AL:$AL,0))</f>
        <v>1</v>
      </c>
      <c r="N146" t="b">
        <f>INDEX(Data!AF:AF,MATCH($P146,Data!$AL:$AL,0))</f>
        <v>1</v>
      </c>
      <c r="O146">
        <f>INDEX(Data!Q:Q,MATCH($P146,Data!$AL:$AL,0))</f>
        <v>10</v>
      </c>
      <c r="P146" t="s">
        <v>89</v>
      </c>
      <c r="Q146" s="3" t="str">
        <f t="shared" si="2"/>
        <v>ACL2024-01-21 22-26-34</v>
      </c>
    </row>
    <row r="147" spans="1:17" x14ac:dyDescent="0.25">
      <c r="A147" s="3">
        <v>146</v>
      </c>
      <c r="B147" s="216" t="s">
        <v>43</v>
      </c>
      <c r="C147" s="10">
        <f>INDEX(Data!M:M,MATCH(Q147,Data!AM:AM,0))</f>
        <v>95.833333330000002</v>
      </c>
      <c r="D147" s="11">
        <f>INDEX(Data!O:O,MATCH(Q147,Data!AM:AM,0))</f>
        <v>82.92</v>
      </c>
      <c r="E147">
        <f>INDEX(Data!T:T,MATCH($P147,Data!$AL:$AL,0))</f>
        <v>8</v>
      </c>
      <c r="F147">
        <f>INDEX(Data!P:P,MATCH($P147,Data!$AL:$AL,0))</f>
        <v>500</v>
      </c>
      <c r="G147">
        <f>INDEX(Data!Z:Z,MATCH($P147,Data!$AL:$AL,0))</f>
        <v>48</v>
      </c>
      <c r="H147">
        <f>INDEX(Data!AA:AA,MATCH($P147,Data!$AL:$AL,0))</f>
        <v>1000</v>
      </c>
      <c r="I147" t="str">
        <f>INDEX(Data!AB:AB,MATCH($P147,Data!$AL:$AL,0))</f>
        <v>[0.4, 0.3, 0.2, 0.1]</v>
      </c>
      <c r="J147" t="str">
        <f>INDEX(Data!V:V,MATCH($P147,Data!$AL:$AL,0))</f>
        <v>Adam</v>
      </c>
      <c r="K147" t="str">
        <f>INDEX(Data!W:W,MATCH($P147,Data!$AL:$AL,0))</f>
        <v>cross_entropy</v>
      </c>
      <c r="L147" t="str">
        <f>INDEX(Data!X:X,MATCH($P147,Data!$AL:$AL,0))</f>
        <v>uniform</v>
      </c>
      <c r="M147" t="b">
        <f>INDEX(Data!AD:AD,MATCH($P147,Data!$AL:$AL,0))</f>
        <v>1</v>
      </c>
      <c r="N147" t="b">
        <f>INDEX(Data!AF:AF,MATCH($P147,Data!$AL:$AL,0))</f>
        <v>1</v>
      </c>
      <c r="O147">
        <f>INDEX(Data!Q:Q,MATCH($P147,Data!$AL:$AL,0))</f>
        <v>10</v>
      </c>
      <c r="P147" t="s">
        <v>89</v>
      </c>
      <c r="Q147" s="3" t="str">
        <f t="shared" si="2"/>
        <v>SPCL2024-01-21 22-26-34</v>
      </c>
    </row>
    <row r="148" spans="1:17" x14ac:dyDescent="0.25">
      <c r="A148" s="4">
        <v>147</v>
      </c>
      <c r="B148" s="217" t="s">
        <v>44</v>
      </c>
      <c r="C148" s="12">
        <f>INDEX(Data!M:M,MATCH(Q148,Data!AM:AM,0))</f>
        <v>96.875</v>
      </c>
      <c r="D148" s="12">
        <f>INDEX(Data!O:O,MATCH(Q148,Data!AM:AM,0))</f>
        <v>84.67</v>
      </c>
      <c r="E148" s="1">
        <f>INDEX(Data!T:T,MATCH($P148,Data!$AL:$AL,0))</f>
        <v>8</v>
      </c>
      <c r="F148" s="1">
        <f>INDEX(Data!P:P,MATCH($P148,Data!$AL:$AL,0))</f>
        <v>500</v>
      </c>
      <c r="G148" s="1">
        <f>INDEX(Data!Z:Z,MATCH($P148,Data!$AL:$AL,0))</f>
        <v>48</v>
      </c>
      <c r="H148" s="1">
        <f>INDEX(Data!AA:AA,MATCH($P148,Data!$AL:$AL,0))</f>
        <v>1000</v>
      </c>
      <c r="I148" s="1" t="str">
        <f>INDEX(Data!AB:AB,MATCH($P148,Data!$AL:$AL,0))</f>
        <v>[0.4, 0.3, 0.2, 0.1]</v>
      </c>
      <c r="J148" s="1" t="str">
        <f>INDEX(Data!V:V,MATCH($P148,Data!$AL:$AL,0))</f>
        <v>Adam</v>
      </c>
      <c r="K148" s="1" t="str">
        <f>INDEX(Data!W:W,MATCH($P148,Data!$AL:$AL,0))</f>
        <v>cross_entropy</v>
      </c>
      <c r="L148" s="1" t="str">
        <f>INDEX(Data!X:X,MATCH($P148,Data!$AL:$AL,0))</f>
        <v>uniform</v>
      </c>
      <c r="M148" s="1" t="b">
        <f>INDEX(Data!AD:AD,MATCH($P148,Data!$AL:$AL,0))</f>
        <v>1</v>
      </c>
      <c r="N148" s="1" t="b">
        <f>INDEX(Data!AF:AF,MATCH($P148,Data!$AL:$AL,0))</f>
        <v>1</v>
      </c>
      <c r="O148" s="1">
        <f>INDEX(Data!Q:Q,MATCH($P148,Data!$AL:$AL,0))</f>
        <v>10</v>
      </c>
      <c r="P148" s="1" t="s">
        <v>89</v>
      </c>
      <c r="Q148" s="4" t="str">
        <f t="shared" si="2"/>
        <v>SPACL2024-01-21 22-26-34</v>
      </c>
    </row>
    <row r="149" spans="1:17" x14ac:dyDescent="0.25">
      <c r="A149" s="3">
        <v>148</v>
      </c>
      <c r="B149" s="218" t="s">
        <v>40</v>
      </c>
      <c r="C149" s="205">
        <f>INDEX(Data!M:M,MATCH(Q149,Data!AM:AM,0))</f>
        <v>82.083333330000002</v>
      </c>
      <c r="D149" s="13">
        <f>INDEX(Data!O:O,MATCH(Q149,Data!AM:AM,0))</f>
        <v>82.05</v>
      </c>
      <c r="E149" s="2">
        <f>INDEX(Data!T:T,MATCH($P149,Data!$AL:$AL,0))</f>
        <v>8</v>
      </c>
      <c r="F149" s="2">
        <f>INDEX(Data!P:P,MATCH($P149,Data!$AL:$AL,0))</f>
        <v>500</v>
      </c>
      <c r="G149" s="2">
        <f>INDEX(Data!Z:Z,MATCH($P149,Data!$AL:$AL,0))</f>
        <v>48</v>
      </c>
      <c r="H149" s="2">
        <f>INDEX(Data!AA:AA,MATCH($P149,Data!$AL:$AL,0))</f>
        <v>1000</v>
      </c>
      <c r="I149" s="2" t="str">
        <f>INDEX(Data!AB:AB,MATCH($P149,Data!$AL:$AL,0))</f>
        <v>[0.4, 0.3, 0.2, 0.1]</v>
      </c>
      <c r="J149" s="2" t="str">
        <f>INDEX(Data!V:V,MATCH($P149,Data!$AL:$AL,0))</f>
        <v>Adam</v>
      </c>
      <c r="K149" s="2" t="str">
        <f>INDEX(Data!W:W,MATCH($P149,Data!$AL:$AL,0))</f>
        <v>cross_entropy</v>
      </c>
      <c r="L149" s="2" t="str">
        <f>INDEX(Data!X:X,MATCH($P149,Data!$AL:$AL,0))</f>
        <v>uniform</v>
      </c>
      <c r="M149" s="2" t="b">
        <f>INDEX(Data!AD:AD,MATCH($P149,Data!$AL:$AL,0))</f>
        <v>0</v>
      </c>
      <c r="N149" s="2" t="b">
        <f>INDEX(Data!AF:AF,MATCH($P149,Data!$AL:$AL,0))</f>
        <v>1</v>
      </c>
      <c r="O149" s="2">
        <f>INDEX(Data!Q:Q,MATCH($P149,Data!$AL:$AL,0))</f>
        <v>10</v>
      </c>
      <c r="P149" t="s">
        <v>90</v>
      </c>
      <c r="Q149" s="3" t="str">
        <f t="shared" si="2"/>
        <v>NCL2024-01-21 23-36-04</v>
      </c>
    </row>
    <row r="150" spans="1:17" x14ac:dyDescent="0.25">
      <c r="A150" s="3">
        <v>149</v>
      </c>
      <c r="B150" s="216" t="s">
        <v>41</v>
      </c>
      <c r="C150" s="11">
        <f>INDEX(Data!M:M,MATCH(Q150,Data!AM:AM,0))</f>
        <v>81.666666669999998</v>
      </c>
      <c r="D150" s="11">
        <f>INDEX(Data!O:O,MATCH(Q150,Data!AM:AM,0))</f>
        <v>80.91</v>
      </c>
      <c r="E150">
        <f>INDEX(Data!T:T,MATCH($P150,Data!$AL:$AL,0))</f>
        <v>8</v>
      </c>
      <c r="F150">
        <f>INDEX(Data!P:P,MATCH($P150,Data!$AL:$AL,0))</f>
        <v>500</v>
      </c>
      <c r="G150">
        <f>INDEX(Data!Z:Z,MATCH($P150,Data!$AL:$AL,0))</f>
        <v>48</v>
      </c>
      <c r="H150">
        <f>INDEX(Data!AA:AA,MATCH($P150,Data!$AL:$AL,0))</f>
        <v>1000</v>
      </c>
      <c r="I150" t="str">
        <f>INDEX(Data!AB:AB,MATCH($P150,Data!$AL:$AL,0))</f>
        <v>[0.4, 0.3, 0.2, 0.1]</v>
      </c>
      <c r="J150" t="str">
        <f>INDEX(Data!V:V,MATCH($P150,Data!$AL:$AL,0))</f>
        <v>Adam</v>
      </c>
      <c r="K150" t="str">
        <f>INDEX(Data!W:W,MATCH($P150,Data!$AL:$AL,0))</f>
        <v>cross_entropy</v>
      </c>
      <c r="L150" t="str">
        <f>INDEX(Data!X:X,MATCH($P150,Data!$AL:$AL,0))</f>
        <v>uniform</v>
      </c>
      <c r="M150" t="b">
        <f>INDEX(Data!AD:AD,MATCH($P150,Data!$AL:$AL,0))</f>
        <v>0</v>
      </c>
      <c r="N150" t="b">
        <f>INDEX(Data!AF:AF,MATCH($P150,Data!$AL:$AL,0))</f>
        <v>1</v>
      </c>
      <c r="O150">
        <f>INDEX(Data!Q:Q,MATCH($P150,Data!$AL:$AL,0))</f>
        <v>10</v>
      </c>
      <c r="P150" t="s">
        <v>90</v>
      </c>
      <c r="Q150" s="3" t="str">
        <f t="shared" si="2"/>
        <v>CL2024-01-21 23-36-04</v>
      </c>
    </row>
    <row r="151" spans="1:17" x14ac:dyDescent="0.25">
      <c r="A151" s="3">
        <v>150</v>
      </c>
      <c r="B151" s="216" t="s">
        <v>42</v>
      </c>
      <c r="C151" s="206">
        <f>INDEX(Data!M:M,MATCH(Q151,Data!AM:AM,0))</f>
        <v>85.208333330000002</v>
      </c>
      <c r="D151" s="15">
        <f>INDEX(Data!O:O,MATCH(Q151,Data!AM:AM,0))</f>
        <v>85.1</v>
      </c>
      <c r="E151">
        <f>INDEX(Data!T:T,MATCH($P151,Data!$AL:$AL,0))</f>
        <v>8</v>
      </c>
      <c r="F151">
        <f>INDEX(Data!P:P,MATCH($P151,Data!$AL:$AL,0))</f>
        <v>500</v>
      </c>
      <c r="G151">
        <f>INDEX(Data!Z:Z,MATCH($P151,Data!$AL:$AL,0))</f>
        <v>48</v>
      </c>
      <c r="H151">
        <f>INDEX(Data!AA:AA,MATCH($P151,Data!$AL:$AL,0))</f>
        <v>1000</v>
      </c>
      <c r="I151" t="str">
        <f>INDEX(Data!AB:AB,MATCH($P151,Data!$AL:$AL,0))</f>
        <v>[0.4, 0.3, 0.2, 0.1]</v>
      </c>
      <c r="J151" t="str">
        <f>INDEX(Data!V:V,MATCH($P151,Data!$AL:$AL,0))</f>
        <v>Adam</v>
      </c>
      <c r="K151" t="str">
        <f>INDEX(Data!W:W,MATCH($P151,Data!$AL:$AL,0))</f>
        <v>cross_entropy</v>
      </c>
      <c r="L151" t="str">
        <f>INDEX(Data!X:X,MATCH($P151,Data!$AL:$AL,0))</f>
        <v>uniform</v>
      </c>
      <c r="M151" t="b">
        <f>INDEX(Data!AD:AD,MATCH($P151,Data!$AL:$AL,0))</f>
        <v>0</v>
      </c>
      <c r="N151" t="b">
        <f>INDEX(Data!AF:AF,MATCH($P151,Data!$AL:$AL,0))</f>
        <v>1</v>
      </c>
      <c r="O151">
        <f>INDEX(Data!Q:Q,MATCH($P151,Data!$AL:$AL,0))</f>
        <v>10</v>
      </c>
      <c r="P151" t="s">
        <v>90</v>
      </c>
      <c r="Q151" s="3" t="str">
        <f t="shared" si="2"/>
        <v>ACL2024-01-21 23-36-04</v>
      </c>
    </row>
    <row r="152" spans="1:17" x14ac:dyDescent="0.25">
      <c r="A152" s="3">
        <v>151</v>
      </c>
      <c r="B152" s="216" t="s">
        <v>43</v>
      </c>
      <c r="C152" s="15">
        <f>INDEX(Data!M:M,MATCH(Q152,Data!AM:AM,0))</f>
        <v>85.625</v>
      </c>
      <c r="D152" s="175">
        <f>INDEX(Data!O:O,MATCH(Q152,Data!AM:AM,0))</f>
        <v>84.09</v>
      </c>
      <c r="E152">
        <f>INDEX(Data!T:T,MATCH($P152,Data!$AL:$AL,0))</f>
        <v>8</v>
      </c>
      <c r="F152">
        <f>INDEX(Data!P:P,MATCH($P152,Data!$AL:$AL,0))</f>
        <v>500</v>
      </c>
      <c r="G152">
        <f>INDEX(Data!Z:Z,MATCH($P152,Data!$AL:$AL,0))</f>
        <v>48</v>
      </c>
      <c r="H152">
        <f>INDEX(Data!AA:AA,MATCH($P152,Data!$AL:$AL,0))</f>
        <v>1000</v>
      </c>
      <c r="I152" t="str">
        <f>INDEX(Data!AB:AB,MATCH($P152,Data!$AL:$AL,0))</f>
        <v>[0.4, 0.3, 0.2, 0.1]</v>
      </c>
      <c r="J152" t="str">
        <f>INDEX(Data!V:V,MATCH($P152,Data!$AL:$AL,0))</f>
        <v>Adam</v>
      </c>
      <c r="K152" t="str">
        <f>INDEX(Data!W:W,MATCH($P152,Data!$AL:$AL,0))</f>
        <v>cross_entropy</v>
      </c>
      <c r="L152" t="str">
        <f>INDEX(Data!X:X,MATCH($P152,Data!$AL:$AL,0))</f>
        <v>uniform</v>
      </c>
      <c r="M152" t="b">
        <f>INDEX(Data!AD:AD,MATCH($P152,Data!$AL:$AL,0))</f>
        <v>0</v>
      </c>
      <c r="N152" t="b">
        <f>INDEX(Data!AF:AF,MATCH($P152,Data!$AL:$AL,0))</f>
        <v>1</v>
      </c>
      <c r="O152">
        <f>INDEX(Data!Q:Q,MATCH($P152,Data!$AL:$AL,0))</f>
        <v>10</v>
      </c>
      <c r="P152" t="s">
        <v>90</v>
      </c>
      <c r="Q152" s="3" t="str">
        <f t="shared" si="2"/>
        <v>SPCL2024-01-21 23-36-04</v>
      </c>
    </row>
    <row r="153" spans="1:17" x14ac:dyDescent="0.25">
      <c r="A153" s="4">
        <v>152</v>
      </c>
      <c r="B153" s="217" t="s">
        <v>44</v>
      </c>
      <c r="C153" s="18">
        <f>INDEX(Data!M:M,MATCH(Q153,Data!AM:AM,0))</f>
        <v>82.5</v>
      </c>
      <c r="D153" s="207">
        <f>INDEX(Data!O:O,MATCH(Q153,Data!AM:AM,0))</f>
        <v>81.17</v>
      </c>
      <c r="E153" s="1">
        <f>INDEX(Data!T:T,MATCH($P153,Data!$AL:$AL,0))</f>
        <v>8</v>
      </c>
      <c r="F153" s="1">
        <f>INDEX(Data!P:P,MATCH($P153,Data!$AL:$AL,0))</f>
        <v>500</v>
      </c>
      <c r="G153" s="1">
        <f>INDEX(Data!Z:Z,MATCH($P153,Data!$AL:$AL,0))</f>
        <v>48</v>
      </c>
      <c r="H153" s="1">
        <f>INDEX(Data!AA:AA,MATCH($P153,Data!$AL:$AL,0))</f>
        <v>1000</v>
      </c>
      <c r="I153" s="1" t="str">
        <f>INDEX(Data!AB:AB,MATCH($P153,Data!$AL:$AL,0))</f>
        <v>[0.4, 0.3, 0.2, 0.1]</v>
      </c>
      <c r="J153" s="1" t="str">
        <f>INDEX(Data!V:V,MATCH($P153,Data!$AL:$AL,0))</f>
        <v>Adam</v>
      </c>
      <c r="K153" s="1" t="str">
        <f>INDEX(Data!W:W,MATCH($P153,Data!$AL:$AL,0))</f>
        <v>cross_entropy</v>
      </c>
      <c r="L153" s="1" t="str">
        <f>INDEX(Data!X:X,MATCH($P153,Data!$AL:$AL,0))</f>
        <v>uniform</v>
      </c>
      <c r="M153" s="1" t="b">
        <f>INDEX(Data!AD:AD,MATCH($P153,Data!$AL:$AL,0))</f>
        <v>0</v>
      </c>
      <c r="N153" s="1" t="b">
        <f>INDEX(Data!AF:AF,MATCH($P153,Data!$AL:$AL,0))</f>
        <v>1</v>
      </c>
      <c r="O153" s="1">
        <f>INDEX(Data!Q:Q,MATCH($P153,Data!$AL:$AL,0))</f>
        <v>10</v>
      </c>
      <c r="P153" s="1" t="s">
        <v>90</v>
      </c>
      <c r="Q153" s="4" t="str">
        <f t="shared" si="2"/>
        <v>SPACL2024-01-21 23-36-04</v>
      </c>
    </row>
    <row r="154" spans="1:17" x14ac:dyDescent="0.25">
      <c r="A154" s="3">
        <v>153</v>
      </c>
      <c r="B154" s="218" t="s">
        <v>40</v>
      </c>
      <c r="C154" s="208">
        <f>INDEX(Data!M:M,MATCH(Q154,Data!AM:AM,0))</f>
        <v>88.125</v>
      </c>
      <c r="D154" s="209">
        <f>INDEX(Data!O:O,MATCH(Q154,Data!AM:AM,0))</f>
        <v>82.17</v>
      </c>
      <c r="E154" s="2">
        <f>INDEX(Data!T:T,MATCH($P154,Data!$AL:$AL,0))</f>
        <v>8</v>
      </c>
      <c r="F154" s="2">
        <f>INDEX(Data!P:P,MATCH($P154,Data!$AL:$AL,0))</f>
        <v>500</v>
      </c>
      <c r="G154" s="2">
        <f>INDEX(Data!Z:Z,MATCH($P154,Data!$AL:$AL,0))</f>
        <v>48</v>
      </c>
      <c r="H154" s="2">
        <f>INDEX(Data!AA:AA,MATCH($P154,Data!$AL:$AL,0))</f>
        <v>1000</v>
      </c>
      <c r="I154" s="2" t="str">
        <f>INDEX(Data!AB:AB,MATCH($P154,Data!$AL:$AL,0))</f>
        <v>[0.4, 0.3, 0.2, 0.1]</v>
      </c>
      <c r="J154" s="2" t="str">
        <f>INDEX(Data!V:V,MATCH($P154,Data!$AL:$AL,0))</f>
        <v>Adam</v>
      </c>
      <c r="K154" s="2" t="str">
        <f>INDEX(Data!W:W,MATCH($P154,Data!$AL:$AL,0))</f>
        <v>mean_squares</v>
      </c>
      <c r="L154" s="2" t="str">
        <f>INDEX(Data!X:X,MATCH($P154,Data!$AL:$AL,0))</f>
        <v>uniform</v>
      </c>
      <c r="M154" s="2" t="b">
        <f>INDEX(Data!AD:AD,MATCH($P154,Data!$AL:$AL,0))</f>
        <v>1</v>
      </c>
      <c r="N154" s="2" t="b">
        <f>INDEX(Data!AF:AF,MATCH($P154,Data!$AL:$AL,0))</f>
        <v>1</v>
      </c>
      <c r="O154" s="2">
        <f>INDEX(Data!Q:Q,MATCH($P154,Data!$AL:$AL,0))</f>
        <v>10</v>
      </c>
      <c r="P154" t="s">
        <v>91</v>
      </c>
      <c r="Q154" s="3" t="str">
        <f t="shared" si="2"/>
        <v>NCL2024-01-22 09-14-53</v>
      </c>
    </row>
    <row r="155" spans="1:17" x14ac:dyDescent="0.25">
      <c r="A155" s="3">
        <v>154</v>
      </c>
      <c r="B155" s="216" t="s">
        <v>41</v>
      </c>
      <c r="C155" s="11">
        <f>INDEX(Data!M:M,MATCH(Q155,Data!AM:AM,0))</f>
        <v>87.291666669999998</v>
      </c>
      <c r="D155" s="11">
        <f>INDEX(Data!O:O,MATCH(Q155,Data!AM:AM,0))</f>
        <v>82.15</v>
      </c>
      <c r="E155">
        <f>INDEX(Data!T:T,MATCH($P155,Data!$AL:$AL,0))</f>
        <v>8</v>
      </c>
      <c r="F155">
        <f>INDEX(Data!P:P,MATCH($P155,Data!$AL:$AL,0))</f>
        <v>500</v>
      </c>
      <c r="G155">
        <f>INDEX(Data!Z:Z,MATCH($P155,Data!$AL:$AL,0))</f>
        <v>48</v>
      </c>
      <c r="H155">
        <f>INDEX(Data!AA:AA,MATCH($P155,Data!$AL:$AL,0))</f>
        <v>1000</v>
      </c>
      <c r="I155" t="str">
        <f>INDEX(Data!AB:AB,MATCH($P155,Data!$AL:$AL,0))</f>
        <v>[0.4, 0.3, 0.2, 0.1]</v>
      </c>
      <c r="J155" t="str">
        <f>INDEX(Data!V:V,MATCH($P155,Data!$AL:$AL,0))</f>
        <v>Adam</v>
      </c>
      <c r="K155" t="str">
        <f>INDEX(Data!W:W,MATCH($P155,Data!$AL:$AL,0))</f>
        <v>mean_squares</v>
      </c>
      <c r="L155" t="str">
        <f>INDEX(Data!X:X,MATCH($P155,Data!$AL:$AL,0))</f>
        <v>uniform</v>
      </c>
      <c r="M155" t="b">
        <f>INDEX(Data!AD:AD,MATCH($P155,Data!$AL:$AL,0))</f>
        <v>1</v>
      </c>
      <c r="N155" t="b">
        <f>INDEX(Data!AF:AF,MATCH($P155,Data!$AL:$AL,0))</f>
        <v>1</v>
      </c>
      <c r="O155">
        <f>INDEX(Data!Q:Q,MATCH($P155,Data!$AL:$AL,0))</f>
        <v>10</v>
      </c>
      <c r="P155" t="s">
        <v>91</v>
      </c>
      <c r="Q155" s="3" t="str">
        <f t="shared" si="2"/>
        <v>CL2024-01-22 09-14-53</v>
      </c>
    </row>
    <row r="156" spans="1:17" x14ac:dyDescent="0.25">
      <c r="A156" s="3">
        <v>155</v>
      </c>
      <c r="B156" s="216" t="s">
        <v>42</v>
      </c>
      <c r="C156" s="15">
        <f>INDEX(Data!M:M,MATCH(Q156,Data!AM:AM,0))</f>
        <v>90</v>
      </c>
      <c r="D156" s="15">
        <f>INDEX(Data!O:O,MATCH(Q156,Data!AM:AM,0))</f>
        <v>85.01</v>
      </c>
      <c r="E156">
        <f>INDEX(Data!T:T,MATCH($P156,Data!$AL:$AL,0))</f>
        <v>8</v>
      </c>
      <c r="F156">
        <f>INDEX(Data!P:P,MATCH($P156,Data!$AL:$AL,0))</f>
        <v>500</v>
      </c>
      <c r="G156">
        <f>INDEX(Data!Z:Z,MATCH($P156,Data!$AL:$AL,0))</f>
        <v>48</v>
      </c>
      <c r="H156">
        <f>INDEX(Data!AA:AA,MATCH($P156,Data!$AL:$AL,0))</f>
        <v>1000</v>
      </c>
      <c r="I156" t="str">
        <f>INDEX(Data!AB:AB,MATCH($P156,Data!$AL:$AL,0))</f>
        <v>[0.4, 0.3, 0.2, 0.1]</v>
      </c>
      <c r="J156" t="str">
        <f>INDEX(Data!V:V,MATCH($P156,Data!$AL:$AL,0))</f>
        <v>Adam</v>
      </c>
      <c r="K156" t="str">
        <f>INDEX(Data!W:W,MATCH($P156,Data!$AL:$AL,0))</f>
        <v>mean_squares</v>
      </c>
      <c r="L156" t="str">
        <f>INDEX(Data!X:X,MATCH($P156,Data!$AL:$AL,0))</f>
        <v>uniform</v>
      </c>
      <c r="M156" t="b">
        <f>INDEX(Data!AD:AD,MATCH($P156,Data!$AL:$AL,0))</f>
        <v>1</v>
      </c>
      <c r="N156" t="b">
        <f>INDEX(Data!AF:AF,MATCH($P156,Data!$AL:$AL,0))</f>
        <v>1</v>
      </c>
      <c r="O156">
        <f>INDEX(Data!Q:Q,MATCH($P156,Data!$AL:$AL,0))</f>
        <v>10</v>
      </c>
      <c r="P156" t="s">
        <v>91</v>
      </c>
      <c r="Q156" s="3" t="str">
        <f t="shared" si="2"/>
        <v>ACL2024-01-22 09-14-53</v>
      </c>
    </row>
    <row r="157" spans="1:17" x14ac:dyDescent="0.25">
      <c r="A157" s="3">
        <v>156</v>
      </c>
      <c r="B157" s="216" t="s">
        <v>43</v>
      </c>
      <c r="C157" s="10">
        <f>INDEX(Data!M:M,MATCH(Q157,Data!AM:AM,0))</f>
        <v>88.333333330000002</v>
      </c>
      <c r="D157" s="10">
        <f>INDEX(Data!O:O,MATCH(Q157,Data!AM:AM,0))</f>
        <v>83.15</v>
      </c>
      <c r="E157">
        <f>INDEX(Data!T:T,MATCH($P157,Data!$AL:$AL,0))</f>
        <v>8</v>
      </c>
      <c r="F157">
        <f>INDEX(Data!P:P,MATCH($P157,Data!$AL:$AL,0))</f>
        <v>500</v>
      </c>
      <c r="G157">
        <f>INDEX(Data!Z:Z,MATCH($P157,Data!$AL:$AL,0))</f>
        <v>48</v>
      </c>
      <c r="H157">
        <f>INDEX(Data!AA:AA,MATCH($P157,Data!$AL:$AL,0))</f>
        <v>1000</v>
      </c>
      <c r="I157" t="str">
        <f>INDEX(Data!AB:AB,MATCH($P157,Data!$AL:$AL,0))</f>
        <v>[0.4, 0.3, 0.2, 0.1]</v>
      </c>
      <c r="J157" t="str">
        <f>INDEX(Data!V:V,MATCH($P157,Data!$AL:$AL,0))</f>
        <v>Adam</v>
      </c>
      <c r="K157" t="str">
        <f>INDEX(Data!W:W,MATCH($P157,Data!$AL:$AL,0))</f>
        <v>mean_squares</v>
      </c>
      <c r="L157" t="str">
        <f>INDEX(Data!X:X,MATCH($P157,Data!$AL:$AL,0))</f>
        <v>uniform</v>
      </c>
      <c r="M157" t="b">
        <f>INDEX(Data!AD:AD,MATCH($P157,Data!$AL:$AL,0))</f>
        <v>1</v>
      </c>
      <c r="N157" t="b">
        <f>INDEX(Data!AF:AF,MATCH($P157,Data!$AL:$AL,0))</f>
        <v>1</v>
      </c>
      <c r="O157">
        <f>INDEX(Data!Q:Q,MATCH($P157,Data!$AL:$AL,0))</f>
        <v>10</v>
      </c>
      <c r="P157" t="s">
        <v>91</v>
      </c>
      <c r="Q157" s="3" t="str">
        <f t="shared" si="2"/>
        <v>SPCL2024-01-22 09-14-53</v>
      </c>
    </row>
    <row r="158" spans="1:17" x14ac:dyDescent="0.25">
      <c r="A158" s="4">
        <v>157</v>
      </c>
      <c r="B158" s="217" t="s">
        <v>44</v>
      </c>
      <c r="C158" s="12">
        <f>INDEX(Data!M:M,MATCH(Q158,Data!AM:AM,0))</f>
        <v>90</v>
      </c>
      <c r="D158" s="210">
        <f>INDEX(Data!O:O,MATCH(Q158,Data!AM:AM,0))</f>
        <v>84.34</v>
      </c>
      <c r="E158" s="1">
        <f>INDEX(Data!T:T,MATCH($P158,Data!$AL:$AL,0))</f>
        <v>8</v>
      </c>
      <c r="F158" s="1">
        <f>INDEX(Data!P:P,MATCH($P158,Data!$AL:$AL,0))</f>
        <v>500</v>
      </c>
      <c r="G158" s="1">
        <f>INDEX(Data!Z:Z,MATCH($P158,Data!$AL:$AL,0))</f>
        <v>48</v>
      </c>
      <c r="H158" s="1">
        <f>INDEX(Data!AA:AA,MATCH($P158,Data!$AL:$AL,0))</f>
        <v>1000</v>
      </c>
      <c r="I158" s="1" t="str">
        <f>INDEX(Data!AB:AB,MATCH($P158,Data!$AL:$AL,0))</f>
        <v>[0.4, 0.3, 0.2, 0.1]</v>
      </c>
      <c r="J158" s="1" t="str">
        <f>INDEX(Data!V:V,MATCH($P158,Data!$AL:$AL,0))</f>
        <v>Adam</v>
      </c>
      <c r="K158" s="1" t="str">
        <f>INDEX(Data!W:W,MATCH($P158,Data!$AL:$AL,0))</f>
        <v>mean_squares</v>
      </c>
      <c r="L158" s="1" t="str">
        <f>INDEX(Data!X:X,MATCH($P158,Data!$AL:$AL,0))</f>
        <v>uniform</v>
      </c>
      <c r="M158" s="1" t="b">
        <f>INDEX(Data!AD:AD,MATCH($P158,Data!$AL:$AL,0))</f>
        <v>1</v>
      </c>
      <c r="N158" s="1" t="b">
        <f>INDEX(Data!AF:AF,MATCH($P158,Data!$AL:$AL,0))</f>
        <v>1</v>
      </c>
      <c r="O158" s="1">
        <f>INDEX(Data!Q:Q,MATCH($P158,Data!$AL:$AL,0))</f>
        <v>10</v>
      </c>
      <c r="P158" s="1" t="s">
        <v>91</v>
      </c>
      <c r="Q158" s="4" t="str">
        <f t="shared" si="2"/>
        <v>SPACL2024-01-22 09-14-53</v>
      </c>
    </row>
    <row r="159" spans="1:17" x14ac:dyDescent="0.25">
      <c r="A159" s="3">
        <v>158</v>
      </c>
      <c r="B159" s="218" t="s">
        <v>40</v>
      </c>
      <c r="C159" s="211">
        <f>INDEX(Data!M:M,MATCH(Q159,Data!AM:AM,0))</f>
        <v>89.791666669999998</v>
      </c>
      <c r="D159" s="13">
        <f>INDEX(Data!O:O,MATCH(Q159,Data!AM:AM,0))</f>
        <v>83.39</v>
      </c>
      <c r="E159" s="2">
        <f>INDEX(Data!T:T,MATCH($P159,Data!$AL:$AL,0))</f>
        <v>8</v>
      </c>
      <c r="F159" s="2">
        <f>INDEX(Data!P:P,MATCH($P159,Data!$AL:$AL,0))</f>
        <v>500</v>
      </c>
      <c r="G159" s="2">
        <f>INDEX(Data!Z:Z,MATCH($P159,Data!$AL:$AL,0))</f>
        <v>48</v>
      </c>
      <c r="H159" s="2">
        <f>INDEX(Data!AA:AA,MATCH($P159,Data!$AL:$AL,0))</f>
        <v>1000</v>
      </c>
      <c r="I159" s="2" t="str">
        <f>INDEX(Data!AB:AB,MATCH($P159,Data!$AL:$AL,0))</f>
        <v>[0.4, 0.3, 0.2, 0.1]</v>
      </c>
      <c r="J159" s="2" t="str">
        <f>INDEX(Data!V:V,MATCH($P159,Data!$AL:$AL,0))</f>
        <v>Adam</v>
      </c>
      <c r="K159" s="2" t="str">
        <f>INDEX(Data!W:W,MATCH($P159,Data!$AL:$AL,0))</f>
        <v>mean_squares</v>
      </c>
      <c r="L159" s="2" t="str">
        <f>INDEX(Data!X:X,MATCH($P159,Data!$AL:$AL,0))</f>
        <v>uniform</v>
      </c>
      <c r="M159" s="2" t="b">
        <f>INDEX(Data!AD:AD,MATCH($P159,Data!$AL:$AL,0))</f>
        <v>0</v>
      </c>
      <c r="N159" s="2" t="b">
        <f>INDEX(Data!AF:AF,MATCH($P159,Data!$AL:$AL,0))</f>
        <v>1</v>
      </c>
      <c r="O159" s="2">
        <f>INDEX(Data!Q:Q,MATCH($P159,Data!$AL:$AL,0))</f>
        <v>10</v>
      </c>
      <c r="P159" t="s">
        <v>92</v>
      </c>
      <c r="Q159" s="3" t="str">
        <f t="shared" si="2"/>
        <v>NCL2024-01-22 09-53-10</v>
      </c>
    </row>
    <row r="160" spans="1:17" x14ac:dyDescent="0.25">
      <c r="A160" s="3">
        <v>159</v>
      </c>
      <c r="B160" s="216" t="s">
        <v>41</v>
      </c>
      <c r="C160" s="11">
        <f>INDEX(Data!M:M,MATCH(Q160,Data!AM:AM,0))</f>
        <v>86.25</v>
      </c>
      <c r="D160" s="11">
        <f>INDEX(Data!O:O,MATCH(Q160,Data!AM:AM,0))</f>
        <v>80.67</v>
      </c>
      <c r="E160">
        <f>INDEX(Data!T:T,MATCH($P160,Data!$AL:$AL,0))</f>
        <v>8</v>
      </c>
      <c r="F160">
        <f>INDEX(Data!P:P,MATCH($P160,Data!$AL:$AL,0))</f>
        <v>500</v>
      </c>
      <c r="G160">
        <f>INDEX(Data!Z:Z,MATCH($P160,Data!$AL:$AL,0))</f>
        <v>48</v>
      </c>
      <c r="H160">
        <f>INDEX(Data!AA:AA,MATCH($P160,Data!$AL:$AL,0))</f>
        <v>1000</v>
      </c>
      <c r="I160" t="str">
        <f>INDEX(Data!AB:AB,MATCH($P160,Data!$AL:$AL,0))</f>
        <v>[0.4, 0.3, 0.2, 0.1]</v>
      </c>
      <c r="J160" t="str">
        <f>INDEX(Data!V:V,MATCH($P160,Data!$AL:$AL,0))</f>
        <v>Adam</v>
      </c>
      <c r="K160" t="str">
        <f>INDEX(Data!W:W,MATCH($P160,Data!$AL:$AL,0))</f>
        <v>mean_squares</v>
      </c>
      <c r="L160" t="str">
        <f>INDEX(Data!X:X,MATCH($P160,Data!$AL:$AL,0))</f>
        <v>uniform</v>
      </c>
      <c r="M160" t="b">
        <f>INDEX(Data!AD:AD,MATCH($P160,Data!$AL:$AL,0))</f>
        <v>0</v>
      </c>
      <c r="N160" t="b">
        <f>INDEX(Data!AF:AF,MATCH($P160,Data!$AL:$AL,0))</f>
        <v>1</v>
      </c>
      <c r="O160">
        <f>INDEX(Data!Q:Q,MATCH($P160,Data!$AL:$AL,0))</f>
        <v>10</v>
      </c>
      <c r="P160" t="s">
        <v>92</v>
      </c>
      <c r="Q160" s="3" t="str">
        <f t="shared" si="2"/>
        <v>CL2024-01-22 09-53-10</v>
      </c>
    </row>
    <row r="161" spans="1:18" x14ac:dyDescent="0.25">
      <c r="A161" s="3">
        <v>160</v>
      </c>
      <c r="B161" s="216" t="s">
        <v>42</v>
      </c>
      <c r="C161" s="15">
        <f>INDEX(Data!M:M,MATCH(Q161,Data!AM:AM,0))</f>
        <v>90.208333330000002</v>
      </c>
      <c r="D161" s="15">
        <f>INDEX(Data!O:O,MATCH(Q161,Data!AM:AM,0))</f>
        <v>86.14</v>
      </c>
      <c r="E161">
        <f>INDEX(Data!T:T,MATCH($P161,Data!$AL:$AL,0))</f>
        <v>8</v>
      </c>
      <c r="F161">
        <f>INDEX(Data!P:P,MATCH($P161,Data!$AL:$AL,0))</f>
        <v>500</v>
      </c>
      <c r="G161">
        <f>INDEX(Data!Z:Z,MATCH($P161,Data!$AL:$AL,0))</f>
        <v>48</v>
      </c>
      <c r="H161">
        <f>INDEX(Data!AA:AA,MATCH($P161,Data!$AL:$AL,0))</f>
        <v>1000</v>
      </c>
      <c r="I161" t="str">
        <f>INDEX(Data!AB:AB,MATCH($P161,Data!$AL:$AL,0))</f>
        <v>[0.4, 0.3, 0.2, 0.1]</v>
      </c>
      <c r="J161" t="str">
        <f>INDEX(Data!V:V,MATCH($P161,Data!$AL:$AL,0))</f>
        <v>Adam</v>
      </c>
      <c r="K161" t="str">
        <f>INDEX(Data!W:W,MATCH($P161,Data!$AL:$AL,0))</f>
        <v>mean_squares</v>
      </c>
      <c r="L161" t="str">
        <f>INDEX(Data!X:X,MATCH($P161,Data!$AL:$AL,0))</f>
        <v>uniform</v>
      </c>
      <c r="M161" t="b">
        <f>INDEX(Data!AD:AD,MATCH($P161,Data!$AL:$AL,0))</f>
        <v>0</v>
      </c>
      <c r="N161" t="b">
        <f>INDEX(Data!AF:AF,MATCH($P161,Data!$AL:$AL,0))</f>
        <v>1</v>
      </c>
      <c r="O161">
        <f>INDEX(Data!Q:Q,MATCH($P161,Data!$AL:$AL,0))</f>
        <v>10</v>
      </c>
      <c r="P161" t="s">
        <v>92</v>
      </c>
      <c r="Q161" s="3" t="str">
        <f t="shared" si="2"/>
        <v>ACL2024-01-22 09-53-10</v>
      </c>
    </row>
    <row r="162" spans="1:18" x14ac:dyDescent="0.25">
      <c r="A162" s="3">
        <v>161</v>
      </c>
      <c r="B162" s="216" t="s">
        <v>43</v>
      </c>
      <c r="C162" s="10">
        <f>INDEX(Data!M:M,MATCH(Q162,Data!AM:AM,0))</f>
        <v>88.958333330000002</v>
      </c>
      <c r="D162" s="212">
        <f>INDEX(Data!O:O,MATCH(Q162,Data!AM:AM,0))</f>
        <v>83.57</v>
      </c>
      <c r="E162">
        <f>INDEX(Data!T:T,MATCH($P162,Data!$AL:$AL,0))</f>
        <v>8</v>
      </c>
      <c r="F162">
        <f>INDEX(Data!P:P,MATCH($P162,Data!$AL:$AL,0))</f>
        <v>500</v>
      </c>
      <c r="G162">
        <f>INDEX(Data!Z:Z,MATCH($P162,Data!$AL:$AL,0))</f>
        <v>48</v>
      </c>
      <c r="H162">
        <f>INDEX(Data!AA:AA,MATCH($P162,Data!$AL:$AL,0))</f>
        <v>1000</v>
      </c>
      <c r="I162" t="str">
        <f>INDEX(Data!AB:AB,MATCH($P162,Data!$AL:$AL,0))</f>
        <v>[0.4, 0.3, 0.2, 0.1]</v>
      </c>
      <c r="J162" t="str">
        <f>INDEX(Data!V:V,MATCH($P162,Data!$AL:$AL,0))</f>
        <v>Adam</v>
      </c>
      <c r="K162" t="str">
        <f>INDEX(Data!W:W,MATCH($P162,Data!$AL:$AL,0))</f>
        <v>mean_squares</v>
      </c>
      <c r="L162" t="str">
        <f>INDEX(Data!X:X,MATCH($P162,Data!$AL:$AL,0))</f>
        <v>uniform</v>
      </c>
      <c r="M162" t="b">
        <f>INDEX(Data!AD:AD,MATCH($P162,Data!$AL:$AL,0))</f>
        <v>0</v>
      </c>
      <c r="N162" t="b">
        <f>INDEX(Data!AF:AF,MATCH($P162,Data!$AL:$AL,0))</f>
        <v>1</v>
      </c>
      <c r="O162">
        <f>INDEX(Data!Q:Q,MATCH($P162,Data!$AL:$AL,0))</f>
        <v>10</v>
      </c>
      <c r="P162" t="s">
        <v>92</v>
      </c>
      <c r="Q162" s="3" t="str">
        <f t="shared" si="2"/>
        <v>SPCL2024-01-22 09-53-10</v>
      </c>
    </row>
    <row r="163" spans="1:18" x14ac:dyDescent="0.25">
      <c r="A163" s="4">
        <v>162</v>
      </c>
      <c r="B163" s="217" t="s">
        <v>44</v>
      </c>
      <c r="C163" s="213">
        <f>INDEX(Data!M:M,MATCH(Q163,Data!AM:AM,0))</f>
        <v>87.916666669999998</v>
      </c>
      <c r="D163" s="214">
        <f>INDEX(Data!O:O,MATCH(Q163,Data!AM:AM,0))</f>
        <v>83.03</v>
      </c>
      <c r="E163" s="1">
        <f>INDEX(Data!T:T,MATCH($P163,Data!$AL:$AL,0))</f>
        <v>8</v>
      </c>
      <c r="F163" s="1">
        <f>INDEX(Data!P:P,MATCH($P163,Data!$AL:$AL,0))</f>
        <v>500</v>
      </c>
      <c r="G163" s="1">
        <f>INDEX(Data!Z:Z,MATCH($P163,Data!$AL:$AL,0))</f>
        <v>48</v>
      </c>
      <c r="H163" s="1">
        <f>INDEX(Data!AA:AA,MATCH($P163,Data!$AL:$AL,0))</f>
        <v>1000</v>
      </c>
      <c r="I163" s="1" t="str">
        <f>INDEX(Data!AB:AB,MATCH($P163,Data!$AL:$AL,0))</f>
        <v>[0.4, 0.3, 0.2, 0.1]</v>
      </c>
      <c r="J163" s="1" t="str">
        <f>INDEX(Data!V:V,MATCH($P163,Data!$AL:$AL,0))</f>
        <v>Adam</v>
      </c>
      <c r="K163" s="1" t="str">
        <f>INDEX(Data!W:W,MATCH($P163,Data!$AL:$AL,0))</f>
        <v>mean_squares</v>
      </c>
      <c r="L163" s="1" t="str">
        <f>INDEX(Data!X:X,MATCH($P163,Data!$AL:$AL,0))</f>
        <v>uniform</v>
      </c>
      <c r="M163" s="1" t="b">
        <f>INDEX(Data!AD:AD,MATCH($P163,Data!$AL:$AL,0))</f>
        <v>0</v>
      </c>
      <c r="N163" s="1" t="b">
        <f>INDEX(Data!AF:AF,MATCH($P163,Data!$AL:$AL,0))</f>
        <v>1</v>
      </c>
      <c r="O163" s="1">
        <f>INDEX(Data!Q:Q,MATCH($P163,Data!$AL:$AL,0))</f>
        <v>10</v>
      </c>
      <c r="P163" s="1" t="s">
        <v>92</v>
      </c>
      <c r="Q163" s="4" t="str">
        <f t="shared" si="2"/>
        <v>SPACL2024-01-22 09-53-10</v>
      </c>
    </row>
    <row r="164" spans="1:18" x14ac:dyDescent="0.25">
      <c r="A164" s="3">
        <v>163</v>
      </c>
      <c r="B164" s="218" t="s">
        <v>40</v>
      </c>
      <c r="C164" s="13">
        <f>INDEX(Data!M:M,MATCH(Q164,Data!AM:AM,0))</f>
        <v>90.6</v>
      </c>
      <c r="D164" s="13">
        <f>INDEX(Data!O:O,MATCH(Q164,Data!AM:AM,0))</f>
        <v>86.53</v>
      </c>
      <c r="E164" s="2">
        <f>INDEX(Data!T:T,MATCH($P164,Data!$AL:$AL,0))</f>
        <v>8</v>
      </c>
      <c r="F164" s="2">
        <f>INDEX(Data!P:P,MATCH($P164,Data!$AL:$AL,0))</f>
        <v>2000</v>
      </c>
      <c r="G164" s="2">
        <f>INDEX(Data!Z:Z,MATCH($P164,Data!$AL:$AL,0))</f>
        <v>100</v>
      </c>
      <c r="H164" s="2">
        <f>INDEX(Data!AA:AA,MATCH($P164,Data!$AL:$AL,0))</f>
        <v>1000</v>
      </c>
      <c r="I164" s="2" t="str">
        <f>INDEX(Data!AB:AB,MATCH($P164,Data!$AL:$AL,0))</f>
        <v>[0.3, 0.1, 0.1, 0.1, 0.1, 0.1, 0.1, 0.1]</v>
      </c>
      <c r="J164" s="2" t="str">
        <f>INDEX(Data!V:V,MATCH($P164,Data!$AL:$AL,0))</f>
        <v>Adam</v>
      </c>
      <c r="K164" s="2" t="str">
        <f>INDEX(Data!W:W,MATCH($P164,Data!$AL:$AL,0))</f>
        <v>mean_squares</v>
      </c>
      <c r="L164" s="2" t="str">
        <f>INDEX(Data!X:X,MATCH($P164,Data!$AL:$AL,0))</f>
        <v>uniform</v>
      </c>
      <c r="M164" s="2" t="b">
        <f>INDEX(Data!AD:AD,MATCH($P164,Data!$AL:$AL,0))</f>
        <v>0</v>
      </c>
      <c r="N164" s="2" t="b">
        <f>INDEX(Data!AF:AF,MATCH($P164,Data!$AL:$AL,0))</f>
        <v>1</v>
      </c>
      <c r="O164" s="2">
        <f>INDEX(Data!Q:Q,MATCH($P164,Data!$AL:$AL,0))</f>
        <v>10</v>
      </c>
      <c r="P164" t="s">
        <v>109</v>
      </c>
      <c r="Q164" s="3" t="str">
        <f t="shared" si="2"/>
        <v>NCL2024-01-23 15-28-02</v>
      </c>
    </row>
    <row r="165" spans="1:18" x14ac:dyDescent="0.25">
      <c r="A165" s="3">
        <v>164</v>
      </c>
      <c r="B165" s="216" t="s">
        <v>41</v>
      </c>
      <c r="C165" s="11">
        <f>INDEX(Data!M:M,MATCH(Q165,Data!AM:AM,0))</f>
        <v>89.9</v>
      </c>
      <c r="D165" s="11">
        <f>INDEX(Data!O:O,MATCH(Q165,Data!AM:AM,0))</f>
        <v>85.41</v>
      </c>
      <c r="E165">
        <f>INDEX(Data!T:T,MATCH($P165,Data!$AL:$AL,0))</f>
        <v>8</v>
      </c>
      <c r="F165">
        <f>INDEX(Data!P:P,MATCH($P165,Data!$AL:$AL,0))</f>
        <v>2000</v>
      </c>
      <c r="G165">
        <f>INDEX(Data!Z:Z,MATCH($P165,Data!$AL:$AL,0))</f>
        <v>100</v>
      </c>
      <c r="H165">
        <f>INDEX(Data!AA:AA,MATCH($P165,Data!$AL:$AL,0))</f>
        <v>1000</v>
      </c>
      <c r="I165" t="str">
        <f>INDEX(Data!AB:AB,MATCH($P165,Data!$AL:$AL,0))</f>
        <v>[0.3, 0.1, 0.1, 0.1, 0.1, 0.1, 0.1, 0.1]</v>
      </c>
      <c r="J165" t="str">
        <f>INDEX(Data!V:V,MATCH($P165,Data!$AL:$AL,0))</f>
        <v>Adam</v>
      </c>
      <c r="K165" t="str">
        <f>INDEX(Data!W:W,MATCH($P165,Data!$AL:$AL,0))</f>
        <v>mean_squares</v>
      </c>
      <c r="L165" t="str">
        <f>INDEX(Data!X:X,MATCH($P165,Data!$AL:$AL,0))</f>
        <v>uniform</v>
      </c>
      <c r="M165" t="b">
        <f>INDEX(Data!AD:AD,MATCH($P165,Data!$AL:$AL,0))</f>
        <v>0</v>
      </c>
      <c r="N165" t="b">
        <f>INDEX(Data!AF:AF,MATCH($P165,Data!$AL:$AL,0))</f>
        <v>1</v>
      </c>
      <c r="O165">
        <f>INDEX(Data!Q:Q,MATCH($P165,Data!$AL:$AL,0))</f>
        <v>10</v>
      </c>
      <c r="P165" t="s">
        <v>109</v>
      </c>
      <c r="Q165" s="3" t="str">
        <f t="shared" si="2"/>
        <v>CL2024-01-23 15-28-02</v>
      </c>
    </row>
    <row r="166" spans="1:18" x14ac:dyDescent="0.25">
      <c r="A166" s="3">
        <v>165</v>
      </c>
      <c r="B166" s="216" t="s">
        <v>42</v>
      </c>
      <c r="C166" s="15">
        <f>INDEX(Data!M:M,MATCH(Q166,Data!AM:AM,0))</f>
        <v>92.1</v>
      </c>
      <c r="D166" s="15">
        <f>INDEX(Data!O:O,MATCH(Q166,Data!AM:AM,0))</f>
        <v>88.12</v>
      </c>
      <c r="E166">
        <f>INDEX(Data!T:T,MATCH($P166,Data!$AL:$AL,0))</f>
        <v>8</v>
      </c>
      <c r="F166">
        <f>INDEX(Data!P:P,MATCH($P166,Data!$AL:$AL,0))</f>
        <v>2000</v>
      </c>
      <c r="G166">
        <f>INDEX(Data!Z:Z,MATCH($P166,Data!$AL:$AL,0))</f>
        <v>100</v>
      </c>
      <c r="H166">
        <f>INDEX(Data!AA:AA,MATCH($P166,Data!$AL:$AL,0))</f>
        <v>1000</v>
      </c>
      <c r="I166" t="str">
        <f>INDEX(Data!AB:AB,MATCH($P166,Data!$AL:$AL,0))</f>
        <v>[0.3, 0.1, 0.1, 0.1, 0.1, 0.1, 0.1, 0.1]</v>
      </c>
      <c r="J166" t="str">
        <f>INDEX(Data!V:V,MATCH($P166,Data!$AL:$AL,0))</f>
        <v>Adam</v>
      </c>
      <c r="K166" t="str">
        <f>INDEX(Data!W:W,MATCH($P166,Data!$AL:$AL,0))</f>
        <v>mean_squares</v>
      </c>
      <c r="L166" t="str">
        <f>INDEX(Data!X:X,MATCH($P166,Data!$AL:$AL,0))</f>
        <v>uniform</v>
      </c>
      <c r="M166" t="b">
        <f>INDEX(Data!AD:AD,MATCH($P166,Data!$AL:$AL,0))</f>
        <v>0</v>
      </c>
      <c r="N166" t="b">
        <f>INDEX(Data!AF:AF,MATCH($P166,Data!$AL:$AL,0))</f>
        <v>1</v>
      </c>
      <c r="O166">
        <f>INDEX(Data!Q:Q,MATCH($P166,Data!$AL:$AL,0))</f>
        <v>10</v>
      </c>
      <c r="P166" t="s">
        <v>109</v>
      </c>
      <c r="Q166" s="3" t="str">
        <f t="shared" si="2"/>
        <v>ACL2024-01-23 15-28-02</v>
      </c>
    </row>
    <row r="167" spans="1:18" x14ac:dyDescent="0.25">
      <c r="A167" s="490">
        <v>168</v>
      </c>
      <c r="B167" s="218" t="s">
        <v>40</v>
      </c>
      <c r="C167" s="19">
        <f>INDEX(Data!M:M,MATCH(Q167,Data!AM:AM,0))</f>
        <v>89</v>
      </c>
      <c r="D167" s="19">
        <f>INDEX(Data!O:O,MATCH(Q167,Data!AM:AM,0))</f>
        <v>84.65</v>
      </c>
      <c r="E167" s="2">
        <f>INDEX(Data!T:T,MATCH($P167,Data!$AL:$AL,0))</f>
        <v>8</v>
      </c>
      <c r="F167" s="2">
        <f>INDEX(Data!P:P,MATCH($P167,Data!$AL:$AL,0))</f>
        <v>2000</v>
      </c>
      <c r="G167" s="2">
        <f>INDEX(Data!Z:Z,MATCH($P167,Data!$AL:$AL,0))</f>
        <v>100</v>
      </c>
      <c r="H167" s="2">
        <f>INDEX(Data!AA:AA,MATCH($P167,Data!$AL:$AL,0))</f>
        <v>1000</v>
      </c>
      <c r="I167" s="2" t="str">
        <f>INDEX(Data!AB:AB,MATCH($P167,Data!$AL:$AL,0))</f>
        <v>[0.3, 0.1, 0.1, 0.1, 0.1, 0.1, 0.1, 0.1]</v>
      </c>
      <c r="J167" s="2" t="str">
        <f>INDEX(Data!V:V,MATCH($P167,Data!$AL:$AL,0))</f>
        <v>Adam</v>
      </c>
      <c r="K167" s="2" t="str">
        <f>INDEX(Data!W:W,MATCH($P167,Data!$AL:$AL,0))</f>
        <v>mean_squares</v>
      </c>
      <c r="L167" s="2" t="str">
        <f>INDEX(Data!X:X,MATCH($P167,Data!$AL:$AL,0))</f>
        <v>uniform</v>
      </c>
      <c r="M167" s="2" t="b">
        <f>INDEX(Data!AD:AD,MATCH($P167,Data!$AL:$AL,0))</f>
        <v>0</v>
      </c>
      <c r="N167" s="2" t="b">
        <f>INDEX(Data!AF:AF,MATCH($P167,Data!$AL:$AL,0))</f>
        <v>1</v>
      </c>
      <c r="O167" s="2">
        <f>INDEX(Data!Q:Q,MATCH($P167,Data!$AL:$AL,0))</f>
        <v>10</v>
      </c>
      <c r="P167" s="2" t="s">
        <v>113</v>
      </c>
      <c r="Q167" s="490" t="str">
        <f t="shared" si="2"/>
        <v>NCL2024-01-24 11-53-34</v>
      </c>
    </row>
    <row r="168" spans="1:18" x14ac:dyDescent="0.25">
      <c r="A168" s="489">
        <v>169</v>
      </c>
      <c r="B168" s="216" t="s">
        <v>41</v>
      </c>
      <c r="C168" s="11">
        <f>INDEX(Data!M:M,MATCH(Q168,Data!AM:AM,0))</f>
        <v>84.7</v>
      </c>
      <c r="D168" s="11">
        <f>INDEX(Data!O:O,MATCH(Q168,Data!AM:AM,0))</f>
        <v>80.58</v>
      </c>
      <c r="E168">
        <f>INDEX(Data!T:T,MATCH($P168,Data!$AL:$AL,0))</f>
        <v>8</v>
      </c>
      <c r="F168">
        <f>INDEX(Data!P:P,MATCH($P168,Data!$AL:$AL,0))</f>
        <v>2000</v>
      </c>
      <c r="G168">
        <f>INDEX(Data!Z:Z,MATCH($P168,Data!$AL:$AL,0))</f>
        <v>100</v>
      </c>
      <c r="H168">
        <f>INDEX(Data!AA:AA,MATCH($P168,Data!$AL:$AL,0))</f>
        <v>1000</v>
      </c>
      <c r="I168" t="str">
        <f>INDEX(Data!AB:AB,MATCH($P168,Data!$AL:$AL,0))</f>
        <v>[0.3, 0.1, 0.1, 0.1, 0.1, 0.1, 0.1, 0.1]</v>
      </c>
      <c r="J168" t="str">
        <f>INDEX(Data!V:V,MATCH($P168,Data!$AL:$AL,0))</f>
        <v>Adam</v>
      </c>
      <c r="K168" t="str">
        <f>INDEX(Data!W:W,MATCH($P168,Data!$AL:$AL,0))</f>
        <v>mean_squares</v>
      </c>
      <c r="L168" t="str">
        <f>INDEX(Data!X:X,MATCH($P168,Data!$AL:$AL,0))</f>
        <v>uniform</v>
      </c>
      <c r="M168" t="b">
        <f>INDEX(Data!AD:AD,MATCH($P168,Data!$AL:$AL,0))</f>
        <v>0</v>
      </c>
      <c r="N168" t="b">
        <f>INDEX(Data!AF:AF,MATCH($P168,Data!$AL:$AL,0))</f>
        <v>1</v>
      </c>
      <c r="O168">
        <f>INDEX(Data!Q:Q,MATCH($P168,Data!$AL:$AL,0))</f>
        <v>10</v>
      </c>
      <c r="P168" s="480" t="s">
        <v>113</v>
      </c>
      <c r="Q168" s="489" t="str">
        <f t="shared" si="2"/>
        <v>CL2024-01-24 11-53-34</v>
      </c>
    </row>
    <row r="169" spans="1:18" x14ac:dyDescent="0.25">
      <c r="A169" s="4">
        <v>170</v>
      </c>
      <c r="B169" s="216" t="s">
        <v>42</v>
      </c>
      <c r="C169" s="15">
        <f>INDEX(Data!M:M,MATCH(Q169,Data!AM:AM,0))</f>
        <v>89</v>
      </c>
      <c r="D169" s="10">
        <f>INDEX(Data!O:O,MATCH(Q169,Data!AM:AM,0))</f>
        <v>84.32</v>
      </c>
      <c r="E169">
        <f>INDEX(Data!T:T,MATCH($P169,Data!$AL:$AL,0))</f>
        <v>8</v>
      </c>
      <c r="F169">
        <f>INDEX(Data!P:P,MATCH($P169,Data!$AL:$AL,0))</f>
        <v>2000</v>
      </c>
      <c r="G169">
        <f>INDEX(Data!Z:Z,MATCH($P169,Data!$AL:$AL,0))</f>
        <v>100</v>
      </c>
      <c r="H169">
        <f>INDEX(Data!AA:AA,MATCH($P169,Data!$AL:$AL,0))</f>
        <v>1000</v>
      </c>
      <c r="I169" t="str">
        <f>INDEX(Data!AB:AB,MATCH($P169,Data!$AL:$AL,0))</f>
        <v>[0.3, 0.1, 0.1, 0.1, 0.1, 0.1, 0.1, 0.1]</v>
      </c>
      <c r="J169" t="str">
        <f>INDEX(Data!V:V,MATCH($P169,Data!$AL:$AL,0))</f>
        <v>Adam</v>
      </c>
      <c r="K169" t="str">
        <f>INDEX(Data!W:W,MATCH($P169,Data!$AL:$AL,0))</f>
        <v>mean_squares</v>
      </c>
      <c r="L169" t="str">
        <f>INDEX(Data!X:X,MATCH($P169,Data!$AL:$AL,0))</f>
        <v>uniform</v>
      </c>
      <c r="M169" t="b">
        <f>INDEX(Data!AD:AD,MATCH($P169,Data!$AL:$AL,0))</f>
        <v>0</v>
      </c>
      <c r="N169" t="b">
        <f>INDEX(Data!AF:AF,MATCH($P169,Data!$AL:$AL,0))</f>
        <v>1</v>
      </c>
      <c r="O169">
        <f>INDEX(Data!Q:Q,MATCH($P169,Data!$AL:$AL,0))</f>
        <v>10</v>
      </c>
      <c r="P169" s="1" t="s">
        <v>113</v>
      </c>
      <c r="Q169" s="4" t="str">
        <f t="shared" si="2"/>
        <v>ACL2024-01-24 11-53-34</v>
      </c>
    </row>
    <row r="170" spans="1:18" x14ac:dyDescent="0.25">
      <c r="A170" s="3">
        <v>173</v>
      </c>
      <c r="B170" s="218" t="s">
        <v>40</v>
      </c>
      <c r="C170" s="13">
        <f>INDEX(Data!M:M,MATCH(Q170,Data!AM:AM,0))</f>
        <v>87.1</v>
      </c>
      <c r="D170" s="13">
        <f>INDEX(Data!O:O,MATCH(Q170,Data!AM:AM,0))</f>
        <v>83.59</v>
      </c>
      <c r="E170" s="2">
        <f>INDEX(Data!T:T,MATCH($P170,Data!$AL:$AL,0))</f>
        <v>8</v>
      </c>
      <c r="F170" s="2">
        <f>INDEX(Data!P:P,MATCH($P170,Data!$AL:$AL,0))</f>
        <v>2000</v>
      </c>
      <c r="G170" s="2">
        <f>INDEX(Data!Z:Z,MATCH($P170,Data!$AL:$AL,0))</f>
        <v>100</v>
      </c>
      <c r="H170" s="2">
        <f>INDEX(Data!AA:AA,MATCH($P170,Data!$AL:$AL,0))</f>
        <v>1000</v>
      </c>
      <c r="I170" s="2" t="str">
        <f>INDEX(Data!AB:AB,MATCH($P170,Data!$AL:$AL,0))</f>
        <v>[0.3, 0.1, 0.1, 0.1, 0.1, 0.1, 0.1, 0.1]</v>
      </c>
      <c r="J170" s="2" t="str">
        <f>INDEX(Data!V:V,MATCH($P170,Data!$AL:$AL,0))</f>
        <v>Adam</v>
      </c>
      <c r="K170" s="2" t="str">
        <f>INDEX(Data!W:W,MATCH($P170,Data!$AL:$AL,0))</f>
        <v>mean_squares</v>
      </c>
      <c r="L170" s="2" t="str">
        <f>INDEX(Data!X:X,MATCH($P170,Data!$AL:$AL,0))</f>
        <v>uniform</v>
      </c>
      <c r="M170" s="2" t="b">
        <f>INDEX(Data!AD:AD,MATCH($P170,Data!$AL:$AL,0))</f>
        <v>0</v>
      </c>
      <c r="N170" s="2" t="b">
        <f>INDEX(Data!AF:AF,MATCH($P170,Data!$AL:$AL,0))</f>
        <v>1</v>
      </c>
      <c r="O170" s="2">
        <f>INDEX(Data!Q:Q,MATCH($P170,Data!$AL:$AL,0))</f>
        <v>10</v>
      </c>
      <c r="P170" t="s">
        <v>114</v>
      </c>
      <c r="Q170" s="3" t="str">
        <f t="shared" si="2"/>
        <v>NCL2024-01-24 11-55-47</v>
      </c>
    </row>
    <row r="171" spans="1:18" x14ac:dyDescent="0.25">
      <c r="A171" s="3">
        <v>174</v>
      </c>
      <c r="B171" s="216" t="s">
        <v>41</v>
      </c>
      <c r="C171" s="11">
        <f>INDEX(Data!M:M,MATCH(Q171,Data!AM:AM,0))</f>
        <v>85.6</v>
      </c>
      <c r="D171" s="11">
        <f>INDEX(Data!O:O,MATCH(Q171,Data!AM:AM,0))</f>
        <v>80.2</v>
      </c>
      <c r="E171">
        <f>INDEX(Data!T:T,MATCH($P171,Data!$AL:$AL,0))</f>
        <v>8</v>
      </c>
      <c r="F171">
        <f>INDEX(Data!P:P,MATCH($P171,Data!$AL:$AL,0))</f>
        <v>2000</v>
      </c>
      <c r="G171">
        <f>INDEX(Data!Z:Z,MATCH($P171,Data!$AL:$AL,0))</f>
        <v>100</v>
      </c>
      <c r="H171">
        <f>INDEX(Data!AA:AA,MATCH($P171,Data!$AL:$AL,0))</f>
        <v>1000</v>
      </c>
      <c r="I171" t="str">
        <f>INDEX(Data!AB:AB,MATCH($P171,Data!$AL:$AL,0))</f>
        <v>[0.3, 0.1, 0.1, 0.1, 0.1, 0.1, 0.1, 0.1]</v>
      </c>
      <c r="J171" t="str">
        <f>INDEX(Data!V:V,MATCH($P171,Data!$AL:$AL,0))</f>
        <v>Adam</v>
      </c>
      <c r="K171" t="str">
        <f>INDEX(Data!W:W,MATCH($P171,Data!$AL:$AL,0))</f>
        <v>mean_squares</v>
      </c>
      <c r="L171" t="str">
        <f>INDEX(Data!X:X,MATCH($P171,Data!$AL:$AL,0))</f>
        <v>uniform</v>
      </c>
      <c r="M171" t="b">
        <f>INDEX(Data!AD:AD,MATCH($P171,Data!$AL:$AL,0))</f>
        <v>0</v>
      </c>
      <c r="N171" t="b">
        <f>INDEX(Data!AF:AF,MATCH($P171,Data!$AL:$AL,0))</f>
        <v>1</v>
      </c>
      <c r="O171">
        <f>INDEX(Data!Q:Q,MATCH($P171,Data!$AL:$AL,0))</f>
        <v>10</v>
      </c>
      <c r="P171" t="s">
        <v>114</v>
      </c>
      <c r="Q171" s="3" t="str">
        <f t="shared" si="2"/>
        <v>CL2024-01-24 11-55-47</v>
      </c>
    </row>
    <row r="172" spans="1:18" x14ac:dyDescent="0.25">
      <c r="A172" s="3">
        <v>175</v>
      </c>
      <c r="B172" s="216" t="s">
        <v>42</v>
      </c>
      <c r="C172" s="15">
        <f>INDEX(Data!M:M,MATCH(Q172,Data!AM:AM,0))</f>
        <v>92.5</v>
      </c>
      <c r="D172" s="15">
        <f>INDEX(Data!O:O,MATCH(Q172,Data!AM:AM,0))</f>
        <v>87.56</v>
      </c>
      <c r="E172">
        <f>INDEX(Data!T:T,MATCH($P172,Data!$AL:$AL,0))</f>
        <v>8</v>
      </c>
      <c r="F172">
        <f>INDEX(Data!P:P,MATCH($P172,Data!$AL:$AL,0))</f>
        <v>2000</v>
      </c>
      <c r="G172">
        <f>INDEX(Data!Z:Z,MATCH($P172,Data!$AL:$AL,0))</f>
        <v>100</v>
      </c>
      <c r="H172">
        <f>INDEX(Data!AA:AA,MATCH($P172,Data!$AL:$AL,0))</f>
        <v>1000</v>
      </c>
      <c r="I172" t="str">
        <f>INDEX(Data!AB:AB,MATCH($P172,Data!$AL:$AL,0))</f>
        <v>[0.3, 0.1, 0.1, 0.1, 0.1, 0.1, 0.1, 0.1]</v>
      </c>
      <c r="J172" t="str">
        <f>INDEX(Data!V:V,MATCH($P172,Data!$AL:$AL,0))</f>
        <v>Adam</v>
      </c>
      <c r="K172" t="str">
        <f>INDEX(Data!W:W,MATCH($P172,Data!$AL:$AL,0))</f>
        <v>mean_squares</v>
      </c>
      <c r="L172" t="str">
        <f>INDEX(Data!X:X,MATCH($P172,Data!$AL:$AL,0))</f>
        <v>uniform</v>
      </c>
      <c r="M172" t="b">
        <f>INDEX(Data!AD:AD,MATCH($P172,Data!$AL:$AL,0))</f>
        <v>0</v>
      </c>
      <c r="N172" t="b">
        <f>INDEX(Data!AF:AF,MATCH($P172,Data!$AL:$AL,0))</f>
        <v>1</v>
      </c>
      <c r="O172">
        <f>INDEX(Data!Q:Q,MATCH($P172,Data!$AL:$AL,0))</f>
        <v>10</v>
      </c>
      <c r="P172" t="s">
        <v>114</v>
      </c>
      <c r="Q172" s="3" t="str">
        <f t="shared" si="2"/>
        <v>ACL2024-01-24 11-55-47</v>
      </c>
    </row>
    <row r="173" spans="1:18" x14ac:dyDescent="0.25">
      <c r="A173" s="490">
        <v>178</v>
      </c>
      <c r="B173" s="218" t="s">
        <v>40</v>
      </c>
      <c r="C173" s="13">
        <f>INDEX(Data!M:M,MATCH(Q173,Data!AM:AM,0))</f>
        <v>87.1</v>
      </c>
      <c r="D173" s="13">
        <f>INDEX(Data!O:O,MATCH(Q173,Data!AM:AM,0))</f>
        <v>83.37</v>
      </c>
      <c r="E173" s="2">
        <f>INDEX(Data!T:T,MATCH($P173,Data!$AL:$AL,0))</f>
        <v>8</v>
      </c>
      <c r="F173" s="2">
        <f>INDEX(Data!P:P,MATCH($P173,Data!$AL:$AL,0))</f>
        <v>2000</v>
      </c>
      <c r="G173" s="2">
        <f>INDEX(Data!Z:Z,MATCH($P173,Data!$AL:$AL,0))</f>
        <v>100</v>
      </c>
      <c r="H173" s="2">
        <f>INDEX(Data!AA:AA,MATCH($P173,Data!$AL:$AL,0))</f>
        <v>1000</v>
      </c>
      <c r="I173" s="2" t="str">
        <f>INDEX(Data!AB:AB,MATCH($P173,Data!$AL:$AL,0))</f>
        <v>[0.3, 0.1, 0.1, 0.1, 0.1, 0.1, 0.1, 0.1]</v>
      </c>
      <c r="J173" s="2" t="str">
        <f>INDEX(Data!V:V,MATCH($P173,Data!$AL:$AL,0))</f>
        <v>BFGS</v>
      </c>
      <c r="K173" s="2" t="str">
        <f>INDEX(Data!W:W,MATCH($P173,Data!$AL:$AL,0))</f>
        <v>mean_squares</v>
      </c>
      <c r="L173" s="2" t="str">
        <f>INDEX(Data!X:X,MATCH($P173,Data!$AL:$AL,0))</f>
        <v>gaussian</v>
      </c>
      <c r="M173" s="2" t="b">
        <f>INDEX(Data!AD:AD,MATCH($P173,Data!$AL:$AL,0))</f>
        <v>0</v>
      </c>
      <c r="N173" s="2" t="b">
        <f>INDEX(Data!AF:AF,MATCH($P173,Data!$AL:$AL,0))</f>
        <v>1</v>
      </c>
      <c r="O173" s="2">
        <f>INDEX(Data!Q:Q,MATCH($P173,Data!$AL:$AL,0))</f>
        <v>10</v>
      </c>
      <c r="P173" s="2" t="s">
        <v>116</v>
      </c>
      <c r="Q173" s="490" t="str">
        <f t="shared" si="2"/>
        <v>NCL2024-01-24 23-04-02</v>
      </c>
      <c r="R173" t="s">
        <v>117</v>
      </c>
    </row>
    <row r="174" spans="1:18" x14ac:dyDescent="0.25">
      <c r="A174" s="489">
        <v>179</v>
      </c>
      <c r="B174" s="216" t="s">
        <v>41</v>
      </c>
      <c r="C174" s="11">
        <f>INDEX(Data!M:M,MATCH(Q174,Data!AM:AM,0))</f>
        <v>83.3</v>
      </c>
      <c r="D174" s="11">
        <f>INDEX(Data!O:O,MATCH(Q174,Data!AM:AM,0))</f>
        <v>80</v>
      </c>
      <c r="E174">
        <f>INDEX(Data!T:T,MATCH($P174,Data!$AL:$AL,0))</f>
        <v>8</v>
      </c>
      <c r="F174">
        <f>INDEX(Data!P:P,MATCH($P174,Data!$AL:$AL,0))</f>
        <v>2000</v>
      </c>
      <c r="G174">
        <f>INDEX(Data!Z:Z,MATCH($P174,Data!$AL:$AL,0))</f>
        <v>100</v>
      </c>
      <c r="H174">
        <f>INDEX(Data!AA:AA,MATCH($P174,Data!$AL:$AL,0))</f>
        <v>1000</v>
      </c>
      <c r="I174" t="str">
        <f>INDEX(Data!AB:AB,MATCH($P174,Data!$AL:$AL,0))</f>
        <v>[0.3, 0.1, 0.1, 0.1, 0.1, 0.1, 0.1, 0.1]</v>
      </c>
      <c r="J174" t="str">
        <f>INDEX(Data!V:V,MATCH($P174,Data!$AL:$AL,0))</f>
        <v>BFGS</v>
      </c>
      <c r="K174" t="str">
        <f>INDEX(Data!W:W,MATCH($P174,Data!$AL:$AL,0))</f>
        <v>mean_squares</v>
      </c>
      <c r="L174" t="str">
        <f>INDEX(Data!X:X,MATCH($P174,Data!$AL:$AL,0))</f>
        <v>gaussian</v>
      </c>
      <c r="M174" t="b">
        <f>INDEX(Data!AD:AD,MATCH($P174,Data!$AL:$AL,0))</f>
        <v>0</v>
      </c>
      <c r="N174" t="b">
        <f>INDEX(Data!AF:AF,MATCH($P174,Data!$AL:$AL,0))</f>
        <v>1</v>
      </c>
      <c r="O174">
        <f>INDEX(Data!Q:Q,MATCH($P174,Data!$AL:$AL,0))</f>
        <v>10</v>
      </c>
      <c r="P174" s="480" t="s">
        <v>116</v>
      </c>
      <c r="Q174" s="489" t="str">
        <f t="shared" si="2"/>
        <v>CL2024-01-24 23-04-02</v>
      </c>
    </row>
    <row r="175" spans="1:18" x14ac:dyDescent="0.25">
      <c r="A175" s="4">
        <v>180</v>
      </c>
      <c r="B175" s="216" t="s">
        <v>42</v>
      </c>
      <c r="C175" s="15">
        <f>INDEX(Data!M:M,MATCH(Q175,Data!AM:AM,0))</f>
        <v>91.6</v>
      </c>
      <c r="D175" s="15">
        <f>INDEX(Data!O:O,MATCH(Q175,Data!AM:AM,0))</f>
        <v>86.83</v>
      </c>
      <c r="E175">
        <f>INDEX(Data!T:T,MATCH($P175,Data!$AL:$AL,0))</f>
        <v>8</v>
      </c>
      <c r="F175">
        <f>INDEX(Data!P:P,MATCH($P175,Data!$AL:$AL,0))</f>
        <v>2000</v>
      </c>
      <c r="G175">
        <f>INDEX(Data!Z:Z,MATCH($P175,Data!$AL:$AL,0))</f>
        <v>100</v>
      </c>
      <c r="H175">
        <f>INDEX(Data!AA:AA,MATCH($P175,Data!$AL:$AL,0))</f>
        <v>1000</v>
      </c>
      <c r="I175" t="str">
        <f>INDEX(Data!AB:AB,MATCH($P175,Data!$AL:$AL,0))</f>
        <v>[0.3, 0.1, 0.1, 0.1, 0.1, 0.1, 0.1, 0.1]</v>
      </c>
      <c r="J175" t="str">
        <f>INDEX(Data!V:V,MATCH($P175,Data!$AL:$AL,0))</f>
        <v>BFGS</v>
      </c>
      <c r="K175" t="str">
        <f>INDEX(Data!W:W,MATCH($P175,Data!$AL:$AL,0))</f>
        <v>mean_squares</v>
      </c>
      <c r="L175" t="str">
        <f>INDEX(Data!X:X,MATCH($P175,Data!$AL:$AL,0))</f>
        <v>gaussian</v>
      </c>
      <c r="M175" t="b">
        <f>INDEX(Data!AD:AD,MATCH($P175,Data!$AL:$AL,0))</f>
        <v>0</v>
      </c>
      <c r="N175" t="b">
        <f>INDEX(Data!AF:AF,MATCH($P175,Data!$AL:$AL,0))</f>
        <v>1</v>
      </c>
      <c r="O175">
        <f>INDEX(Data!Q:Q,MATCH($P175,Data!$AL:$AL,0))</f>
        <v>10</v>
      </c>
      <c r="P175" s="1" t="s">
        <v>116</v>
      </c>
      <c r="Q175" s="4" t="str">
        <f t="shared" si="2"/>
        <v>ACL2024-01-24 23-04-02</v>
      </c>
    </row>
    <row r="176" spans="1:18" x14ac:dyDescent="0.25">
      <c r="A176" s="3">
        <v>183</v>
      </c>
      <c r="B176" s="218" t="s">
        <v>40</v>
      </c>
      <c r="C176" s="6">
        <f>INDEX(Data!M:M,MATCH(Q176,Data!AM:AM,0))</f>
        <v>0</v>
      </c>
      <c r="D176" s="6">
        <f>INDEX(Data!O:O,MATCH(Q176,Data!AM:AM,0))</f>
        <v>0</v>
      </c>
      <c r="E176" s="2" t="e">
        <f>INDEX(Data!T:T,MATCH($P176,Data!$AL:$AL,0))</f>
        <v>#N/A</v>
      </c>
      <c r="F176" s="2" t="e">
        <f>INDEX(Data!P:P,MATCH($P176,Data!$AL:$AL,0))</f>
        <v>#N/A</v>
      </c>
      <c r="G176" s="2" t="e">
        <f>INDEX(Data!Z:Z,MATCH($P176,Data!$AL:$AL,0))</f>
        <v>#N/A</v>
      </c>
      <c r="H176" s="2" t="e">
        <f>INDEX(Data!AA:AA,MATCH($P176,Data!$AL:$AL,0))</f>
        <v>#N/A</v>
      </c>
      <c r="I176" s="2" t="e">
        <f>INDEX(Data!AB:AB,MATCH($P176,Data!$AL:$AL,0))</f>
        <v>#N/A</v>
      </c>
      <c r="J176" s="2" t="e">
        <f>INDEX(Data!V:V,MATCH($P176,Data!$AL:$AL,0))</f>
        <v>#N/A</v>
      </c>
      <c r="K176" s="2" t="e">
        <f>INDEX(Data!W:W,MATCH($P176,Data!$AL:$AL,0))</f>
        <v>#N/A</v>
      </c>
      <c r="L176" s="2" t="e">
        <f>INDEX(Data!X:X,MATCH($P176,Data!$AL:$AL,0))</f>
        <v>#N/A</v>
      </c>
      <c r="M176" s="2" t="e">
        <f>INDEX(Data!AD:AD,MATCH($P176,Data!$AL:$AL,0))</f>
        <v>#N/A</v>
      </c>
      <c r="N176" s="2" t="e">
        <f>INDEX(Data!AF:AF,MATCH($P176,Data!$AL:$AL,0))</f>
        <v>#N/A</v>
      </c>
      <c r="O176" s="2" t="e">
        <f>INDEX(Data!Q:Q,MATCH($P176,Data!$AL:$AL,0))</f>
        <v>#N/A</v>
      </c>
      <c r="Q176" s="3" t="str">
        <f t="shared" si="2"/>
        <v>NCL</v>
      </c>
    </row>
    <row r="177" spans="1:17" x14ac:dyDescent="0.25">
      <c r="A177" s="3">
        <v>184</v>
      </c>
      <c r="B177" s="216" t="s">
        <v>41</v>
      </c>
      <c r="C177" s="7">
        <f>INDEX(Data!M:M,MATCH(Q177,Data!AM:AM,0))</f>
        <v>0</v>
      </c>
      <c r="D177" s="7">
        <f>INDEX(Data!O:O,MATCH(Q177,Data!AM:AM,0))</f>
        <v>0</v>
      </c>
      <c r="E177" t="e">
        <f>INDEX(Data!T:T,MATCH($P177,Data!$AL:$AL,0))</f>
        <v>#N/A</v>
      </c>
      <c r="F177" t="e">
        <f>INDEX(Data!P:P,MATCH($P177,Data!$AL:$AL,0))</f>
        <v>#N/A</v>
      </c>
      <c r="G177" t="e">
        <f>INDEX(Data!Z:Z,MATCH($P177,Data!$AL:$AL,0))</f>
        <v>#N/A</v>
      </c>
      <c r="H177" t="e">
        <f>INDEX(Data!AA:AA,MATCH($P177,Data!$AL:$AL,0))</f>
        <v>#N/A</v>
      </c>
      <c r="I177" t="e">
        <f>INDEX(Data!AB:AB,MATCH($P177,Data!$AL:$AL,0))</f>
        <v>#N/A</v>
      </c>
      <c r="J177" t="e">
        <f>INDEX(Data!V:V,MATCH($P177,Data!$AL:$AL,0))</f>
        <v>#N/A</v>
      </c>
      <c r="K177" t="e">
        <f>INDEX(Data!W:W,MATCH($P177,Data!$AL:$AL,0))</f>
        <v>#N/A</v>
      </c>
      <c r="L177" t="e">
        <f>INDEX(Data!X:X,MATCH($P177,Data!$AL:$AL,0))</f>
        <v>#N/A</v>
      </c>
      <c r="M177" t="e">
        <f>INDEX(Data!AD:AD,MATCH($P177,Data!$AL:$AL,0))</f>
        <v>#N/A</v>
      </c>
      <c r="N177" t="e">
        <f>INDEX(Data!AF:AF,MATCH($P177,Data!$AL:$AL,0))</f>
        <v>#N/A</v>
      </c>
      <c r="O177" t="e">
        <f>INDEX(Data!Q:Q,MATCH($P177,Data!$AL:$AL,0))</f>
        <v>#N/A</v>
      </c>
      <c r="Q177" s="3" t="str">
        <f t="shared" si="2"/>
        <v>CL</v>
      </c>
    </row>
    <row r="178" spans="1:17" x14ac:dyDescent="0.25">
      <c r="A178" s="3">
        <v>185</v>
      </c>
      <c r="B178" s="216" t="s">
        <v>42</v>
      </c>
      <c r="C178" s="7">
        <f>INDEX(Data!M:M,MATCH(Q178,Data!AM:AM,0))</f>
        <v>0</v>
      </c>
      <c r="D178" s="7">
        <f>INDEX(Data!O:O,MATCH(Q178,Data!AM:AM,0))</f>
        <v>0</v>
      </c>
      <c r="E178" t="e">
        <f>INDEX(Data!T:T,MATCH($P178,Data!$AL:$AL,0))</f>
        <v>#N/A</v>
      </c>
      <c r="F178" t="e">
        <f>INDEX(Data!P:P,MATCH($P178,Data!$AL:$AL,0))</f>
        <v>#N/A</v>
      </c>
      <c r="G178" t="e">
        <f>INDEX(Data!Z:Z,MATCH($P178,Data!$AL:$AL,0))</f>
        <v>#N/A</v>
      </c>
      <c r="H178" t="e">
        <f>INDEX(Data!AA:AA,MATCH($P178,Data!$AL:$AL,0))</f>
        <v>#N/A</v>
      </c>
      <c r="I178" t="e">
        <f>INDEX(Data!AB:AB,MATCH($P178,Data!$AL:$AL,0))</f>
        <v>#N/A</v>
      </c>
      <c r="J178" t="e">
        <f>INDEX(Data!V:V,MATCH($P178,Data!$AL:$AL,0))</f>
        <v>#N/A</v>
      </c>
      <c r="K178" t="e">
        <f>INDEX(Data!W:W,MATCH($P178,Data!$AL:$AL,0))</f>
        <v>#N/A</v>
      </c>
      <c r="L178" t="e">
        <f>INDEX(Data!X:X,MATCH($P178,Data!$AL:$AL,0))</f>
        <v>#N/A</v>
      </c>
      <c r="M178" t="e">
        <f>INDEX(Data!AD:AD,MATCH($P178,Data!$AL:$AL,0))</f>
        <v>#N/A</v>
      </c>
      <c r="N178" t="e">
        <f>INDEX(Data!AF:AF,MATCH($P178,Data!$AL:$AL,0))</f>
        <v>#N/A</v>
      </c>
      <c r="O178" t="e">
        <f>INDEX(Data!Q:Q,MATCH($P178,Data!$AL:$AL,0))</f>
        <v>#N/A</v>
      </c>
      <c r="Q178" s="3" t="str">
        <f t="shared" si="2"/>
        <v>ACL</v>
      </c>
    </row>
    <row r="179" spans="1:17" x14ac:dyDescent="0.25">
      <c r="A179" s="3">
        <v>186</v>
      </c>
      <c r="B179" s="216" t="s">
        <v>43</v>
      </c>
      <c r="C179" s="7">
        <f>INDEX(Data!M:M,MATCH(Q179,Data!AM:AM,0))</f>
        <v>0</v>
      </c>
      <c r="D179" s="7">
        <f>INDEX(Data!O:O,MATCH(Q179,Data!AM:AM,0))</f>
        <v>0</v>
      </c>
      <c r="E179" t="e">
        <f>INDEX(Data!T:T,MATCH($P179,Data!$AL:$AL,0))</f>
        <v>#N/A</v>
      </c>
      <c r="F179" t="e">
        <f>INDEX(Data!P:P,MATCH($P179,Data!$AL:$AL,0))</f>
        <v>#N/A</v>
      </c>
      <c r="G179" t="e">
        <f>INDEX(Data!Z:Z,MATCH($P179,Data!$AL:$AL,0))</f>
        <v>#N/A</v>
      </c>
      <c r="H179" t="e">
        <f>INDEX(Data!AA:AA,MATCH($P179,Data!$AL:$AL,0))</f>
        <v>#N/A</v>
      </c>
      <c r="I179" t="e">
        <f>INDEX(Data!AB:AB,MATCH($P179,Data!$AL:$AL,0))</f>
        <v>#N/A</v>
      </c>
      <c r="J179" t="e">
        <f>INDEX(Data!V:V,MATCH($P179,Data!$AL:$AL,0))</f>
        <v>#N/A</v>
      </c>
      <c r="K179" t="e">
        <f>INDEX(Data!W:W,MATCH($P179,Data!$AL:$AL,0))</f>
        <v>#N/A</v>
      </c>
      <c r="L179" t="e">
        <f>INDEX(Data!X:X,MATCH($P179,Data!$AL:$AL,0))</f>
        <v>#N/A</v>
      </c>
      <c r="M179" t="e">
        <f>INDEX(Data!AD:AD,MATCH($P179,Data!$AL:$AL,0))</f>
        <v>#N/A</v>
      </c>
      <c r="N179" t="e">
        <f>INDEX(Data!AF:AF,MATCH($P179,Data!$AL:$AL,0))</f>
        <v>#N/A</v>
      </c>
      <c r="O179" t="e">
        <f>INDEX(Data!Q:Q,MATCH($P179,Data!$AL:$AL,0))</f>
        <v>#N/A</v>
      </c>
      <c r="Q179" s="3" t="str">
        <f t="shared" si="2"/>
        <v>SPCL</v>
      </c>
    </row>
    <row r="180" spans="1:17" x14ac:dyDescent="0.25">
      <c r="A180" s="4">
        <v>187</v>
      </c>
      <c r="B180" s="217" t="s">
        <v>44</v>
      </c>
      <c r="C180" s="8">
        <f>INDEX(Data!M:M,MATCH(Q180,Data!AM:AM,0))</f>
        <v>0</v>
      </c>
      <c r="D180" s="8">
        <f>INDEX(Data!O:O,MATCH(Q180,Data!AM:AM,0))</f>
        <v>0</v>
      </c>
      <c r="E180" s="1" t="e">
        <f>INDEX(Data!T:T,MATCH($P180,Data!$AL:$AL,0))</f>
        <v>#N/A</v>
      </c>
      <c r="F180" s="1" t="e">
        <f>INDEX(Data!P:P,MATCH($P180,Data!$AL:$AL,0))</f>
        <v>#N/A</v>
      </c>
      <c r="G180" s="1" t="e">
        <f>INDEX(Data!Z:Z,MATCH($P180,Data!$AL:$AL,0))</f>
        <v>#N/A</v>
      </c>
      <c r="H180" s="1" t="e">
        <f>INDEX(Data!AA:AA,MATCH($P180,Data!$AL:$AL,0))</f>
        <v>#N/A</v>
      </c>
      <c r="I180" s="1" t="e">
        <f>INDEX(Data!AB:AB,MATCH($P180,Data!$AL:$AL,0))</f>
        <v>#N/A</v>
      </c>
      <c r="J180" s="1" t="e">
        <f>INDEX(Data!V:V,MATCH($P180,Data!$AL:$AL,0))</f>
        <v>#N/A</v>
      </c>
      <c r="K180" s="1" t="e">
        <f>INDEX(Data!W:W,MATCH($P180,Data!$AL:$AL,0))</f>
        <v>#N/A</v>
      </c>
      <c r="L180" s="1" t="e">
        <f>INDEX(Data!X:X,MATCH($P180,Data!$AL:$AL,0))</f>
        <v>#N/A</v>
      </c>
      <c r="M180" s="1" t="e">
        <f>INDEX(Data!AD:AD,MATCH($P180,Data!$AL:$AL,0))</f>
        <v>#N/A</v>
      </c>
      <c r="N180" s="1" t="e">
        <f>INDEX(Data!AF:AF,MATCH($P180,Data!$AL:$AL,0))</f>
        <v>#N/A</v>
      </c>
      <c r="O180" s="1" t="e">
        <f>INDEX(Data!Q:Q,MATCH($P180,Data!$AL:$AL,0))</f>
        <v>#N/A</v>
      </c>
      <c r="P180" s="1"/>
      <c r="Q180" s="4" t="str">
        <f t="shared" si="2"/>
        <v>SPACL</v>
      </c>
    </row>
    <row r="181" spans="1:17" x14ac:dyDescent="0.25">
      <c r="A181" s="3">
        <v>188</v>
      </c>
      <c r="B181" s="218" t="s">
        <v>40</v>
      </c>
      <c r="C181" s="6">
        <f>INDEX(Data!M:M,MATCH(Q181,Data!AM:AM,0))</f>
        <v>0</v>
      </c>
      <c r="D181" s="6">
        <f>INDEX(Data!O:O,MATCH(Q181,Data!AM:AM,0))</f>
        <v>0</v>
      </c>
      <c r="E181" s="2" t="e">
        <f>INDEX(Data!T:T,MATCH($P181,Data!$AL:$AL,0))</f>
        <v>#N/A</v>
      </c>
      <c r="F181" s="2" t="e">
        <f>INDEX(Data!P:P,MATCH($P181,Data!$AL:$AL,0))</f>
        <v>#N/A</v>
      </c>
      <c r="G181" s="2" t="e">
        <f>INDEX(Data!Z:Z,MATCH($P181,Data!$AL:$AL,0))</f>
        <v>#N/A</v>
      </c>
      <c r="H181" s="2" t="e">
        <f>INDEX(Data!AA:AA,MATCH($P181,Data!$AL:$AL,0))</f>
        <v>#N/A</v>
      </c>
      <c r="I181" s="2" t="e">
        <f>INDEX(Data!AB:AB,MATCH($P181,Data!$AL:$AL,0))</f>
        <v>#N/A</v>
      </c>
      <c r="J181" s="2" t="e">
        <f>INDEX(Data!V:V,MATCH($P181,Data!$AL:$AL,0))</f>
        <v>#N/A</v>
      </c>
      <c r="K181" s="2" t="e">
        <f>INDEX(Data!W:W,MATCH($P181,Data!$AL:$AL,0))</f>
        <v>#N/A</v>
      </c>
      <c r="L181" s="2" t="e">
        <f>INDEX(Data!X:X,MATCH($P181,Data!$AL:$AL,0))</f>
        <v>#N/A</v>
      </c>
      <c r="M181" s="2" t="e">
        <f>INDEX(Data!AD:AD,MATCH($P181,Data!$AL:$AL,0))</f>
        <v>#N/A</v>
      </c>
      <c r="N181" s="2" t="e">
        <f>INDEX(Data!AF:AF,MATCH($P181,Data!$AL:$AL,0))</f>
        <v>#N/A</v>
      </c>
      <c r="O181" s="2" t="e">
        <f>INDEX(Data!Q:Q,MATCH($P181,Data!$AL:$AL,0))</f>
        <v>#N/A</v>
      </c>
      <c r="Q181" s="3" t="str">
        <f t="shared" si="2"/>
        <v>NCL</v>
      </c>
    </row>
    <row r="182" spans="1:17" x14ac:dyDescent="0.25">
      <c r="A182" s="3">
        <v>189</v>
      </c>
      <c r="B182" s="216" t="s">
        <v>41</v>
      </c>
      <c r="C182" s="7">
        <f>INDEX(Data!M:M,MATCH(Q182,Data!AM:AM,0))</f>
        <v>0</v>
      </c>
      <c r="D182" s="7">
        <f>INDEX(Data!O:O,MATCH(Q182,Data!AM:AM,0))</f>
        <v>0</v>
      </c>
      <c r="E182" t="e">
        <f>INDEX(Data!T:T,MATCH($P182,Data!$AL:$AL,0))</f>
        <v>#N/A</v>
      </c>
      <c r="F182" t="e">
        <f>INDEX(Data!P:P,MATCH($P182,Data!$AL:$AL,0))</f>
        <v>#N/A</v>
      </c>
      <c r="G182" t="e">
        <f>INDEX(Data!Z:Z,MATCH($P182,Data!$AL:$AL,0))</f>
        <v>#N/A</v>
      </c>
      <c r="H182" t="e">
        <f>INDEX(Data!AA:AA,MATCH($P182,Data!$AL:$AL,0))</f>
        <v>#N/A</v>
      </c>
      <c r="I182" t="e">
        <f>INDEX(Data!AB:AB,MATCH($P182,Data!$AL:$AL,0))</f>
        <v>#N/A</v>
      </c>
      <c r="J182" t="e">
        <f>INDEX(Data!V:V,MATCH($P182,Data!$AL:$AL,0))</f>
        <v>#N/A</v>
      </c>
      <c r="K182" t="e">
        <f>INDEX(Data!W:W,MATCH($P182,Data!$AL:$AL,0))</f>
        <v>#N/A</v>
      </c>
      <c r="L182" t="e">
        <f>INDEX(Data!X:X,MATCH($P182,Data!$AL:$AL,0))</f>
        <v>#N/A</v>
      </c>
      <c r="M182" t="e">
        <f>INDEX(Data!AD:AD,MATCH($P182,Data!$AL:$AL,0))</f>
        <v>#N/A</v>
      </c>
      <c r="N182" t="e">
        <f>INDEX(Data!AF:AF,MATCH($P182,Data!$AL:$AL,0))</f>
        <v>#N/A</v>
      </c>
      <c r="O182" t="e">
        <f>INDEX(Data!Q:Q,MATCH($P182,Data!$AL:$AL,0))</f>
        <v>#N/A</v>
      </c>
      <c r="Q182" s="3" t="str">
        <f t="shared" si="2"/>
        <v>CL</v>
      </c>
    </row>
    <row r="183" spans="1:17" x14ac:dyDescent="0.25">
      <c r="A183" s="3">
        <v>190</v>
      </c>
      <c r="B183" s="216" t="s">
        <v>42</v>
      </c>
      <c r="C183" s="7">
        <f>INDEX(Data!M:M,MATCH(Q183,Data!AM:AM,0))</f>
        <v>0</v>
      </c>
      <c r="D183" s="7">
        <f>INDEX(Data!O:O,MATCH(Q183,Data!AM:AM,0))</f>
        <v>0</v>
      </c>
      <c r="E183" t="e">
        <f>INDEX(Data!T:T,MATCH($P183,Data!$AL:$AL,0))</f>
        <v>#N/A</v>
      </c>
      <c r="F183" t="e">
        <f>INDEX(Data!P:P,MATCH($P183,Data!$AL:$AL,0))</f>
        <v>#N/A</v>
      </c>
      <c r="G183" t="e">
        <f>INDEX(Data!Z:Z,MATCH($P183,Data!$AL:$AL,0))</f>
        <v>#N/A</v>
      </c>
      <c r="H183" t="e">
        <f>INDEX(Data!AA:AA,MATCH($P183,Data!$AL:$AL,0))</f>
        <v>#N/A</v>
      </c>
      <c r="I183" t="e">
        <f>INDEX(Data!AB:AB,MATCH($P183,Data!$AL:$AL,0))</f>
        <v>#N/A</v>
      </c>
      <c r="J183" t="e">
        <f>INDEX(Data!V:V,MATCH($P183,Data!$AL:$AL,0))</f>
        <v>#N/A</v>
      </c>
      <c r="K183" t="e">
        <f>INDEX(Data!W:W,MATCH($P183,Data!$AL:$AL,0))</f>
        <v>#N/A</v>
      </c>
      <c r="L183" t="e">
        <f>INDEX(Data!X:X,MATCH($P183,Data!$AL:$AL,0))</f>
        <v>#N/A</v>
      </c>
      <c r="M183" t="e">
        <f>INDEX(Data!AD:AD,MATCH($P183,Data!$AL:$AL,0))</f>
        <v>#N/A</v>
      </c>
      <c r="N183" t="e">
        <f>INDEX(Data!AF:AF,MATCH($P183,Data!$AL:$AL,0))</f>
        <v>#N/A</v>
      </c>
      <c r="O183" t="e">
        <f>INDEX(Data!Q:Q,MATCH($P183,Data!$AL:$AL,0))</f>
        <v>#N/A</v>
      </c>
      <c r="Q183" s="3" t="str">
        <f t="shared" si="2"/>
        <v>ACL</v>
      </c>
    </row>
    <row r="184" spans="1:17" x14ac:dyDescent="0.25">
      <c r="A184" s="3">
        <v>191</v>
      </c>
      <c r="B184" s="216" t="s">
        <v>43</v>
      </c>
      <c r="C184" s="7">
        <f>INDEX(Data!M:M,MATCH(Q184,Data!AM:AM,0))</f>
        <v>0</v>
      </c>
      <c r="D184" s="7">
        <f>INDEX(Data!O:O,MATCH(Q184,Data!AM:AM,0))</f>
        <v>0</v>
      </c>
      <c r="E184" t="e">
        <f>INDEX(Data!T:T,MATCH($P184,Data!$AL:$AL,0))</f>
        <v>#N/A</v>
      </c>
      <c r="F184" t="e">
        <f>INDEX(Data!P:P,MATCH($P184,Data!$AL:$AL,0))</f>
        <v>#N/A</v>
      </c>
      <c r="G184" t="e">
        <f>INDEX(Data!Z:Z,MATCH($P184,Data!$AL:$AL,0))</f>
        <v>#N/A</v>
      </c>
      <c r="H184" t="e">
        <f>INDEX(Data!AA:AA,MATCH($P184,Data!$AL:$AL,0))</f>
        <v>#N/A</v>
      </c>
      <c r="I184" t="e">
        <f>INDEX(Data!AB:AB,MATCH($P184,Data!$AL:$AL,0))</f>
        <v>#N/A</v>
      </c>
      <c r="J184" t="e">
        <f>INDEX(Data!V:V,MATCH($P184,Data!$AL:$AL,0))</f>
        <v>#N/A</v>
      </c>
      <c r="K184" t="e">
        <f>INDEX(Data!W:W,MATCH($P184,Data!$AL:$AL,0))</f>
        <v>#N/A</v>
      </c>
      <c r="L184" t="e">
        <f>INDEX(Data!X:X,MATCH($P184,Data!$AL:$AL,0))</f>
        <v>#N/A</v>
      </c>
      <c r="M184" t="e">
        <f>INDEX(Data!AD:AD,MATCH($P184,Data!$AL:$AL,0))</f>
        <v>#N/A</v>
      </c>
      <c r="N184" t="e">
        <f>INDEX(Data!AF:AF,MATCH($P184,Data!$AL:$AL,0))</f>
        <v>#N/A</v>
      </c>
      <c r="O184" t="e">
        <f>INDEX(Data!Q:Q,MATCH($P184,Data!$AL:$AL,0))</f>
        <v>#N/A</v>
      </c>
      <c r="Q184" s="3" t="str">
        <f t="shared" si="2"/>
        <v>SPCL</v>
      </c>
    </row>
    <row r="185" spans="1:17" x14ac:dyDescent="0.25">
      <c r="A185" s="4">
        <v>192</v>
      </c>
      <c r="B185" s="217" t="s">
        <v>44</v>
      </c>
      <c r="C185" s="8">
        <f>INDEX(Data!M:M,MATCH(Q185,Data!AM:AM,0))</f>
        <v>0</v>
      </c>
      <c r="D185" s="8">
        <f>INDEX(Data!O:O,MATCH(Q185,Data!AM:AM,0))</f>
        <v>0</v>
      </c>
      <c r="E185" s="1" t="e">
        <f>INDEX(Data!T:T,MATCH($P185,Data!$AL:$AL,0))</f>
        <v>#N/A</v>
      </c>
      <c r="F185" s="1" t="e">
        <f>INDEX(Data!P:P,MATCH($P185,Data!$AL:$AL,0))</f>
        <v>#N/A</v>
      </c>
      <c r="G185" s="1" t="e">
        <f>INDEX(Data!Z:Z,MATCH($P185,Data!$AL:$AL,0))</f>
        <v>#N/A</v>
      </c>
      <c r="H185" s="1" t="e">
        <f>INDEX(Data!AA:AA,MATCH($P185,Data!$AL:$AL,0))</f>
        <v>#N/A</v>
      </c>
      <c r="I185" s="1" t="e">
        <f>INDEX(Data!AB:AB,MATCH($P185,Data!$AL:$AL,0))</f>
        <v>#N/A</v>
      </c>
      <c r="J185" s="1" t="e">
        <f>INDEX(Data!V:V,MATCH($P185,Data!$AL:$AL,0))</f>
        <v>#N/A</v>
      </c>
      <c r="K185" s="1" t="e">
        <f>INDEX(Data!W:W,MATCH($P185,Data!$AL:$AL,0))</f>
        <v>#N/A</v>
      </c>
      <c r="L185" s="1" t="e">
        <f>INDEX(Data!X:X,MATCH($P185,Data!$AL:$AL,0))</f>
        <v>#N/A</v>
      </c>
      <c r="M185" s="1" t="e">
        <f>INDEX(Data!AD:AD,MATCH($P185,Data!$AL:$AL,0))</f>
        <v>#N/A</v>
      </c>
      <c r="N185" s="1" t="e">
        <f>INDEX(Data!AF:AF,MATCH($P185,Data!$AL:$AL,0))</f>
        <v>#N/A</v>
      </c>
      <c r="O185" s="1" t="e">
        <f>INDEX(Data!Q:Q,MATCH($P185,Data!$AL:$AL,0))</f>
        <v>#N/A</v>
      </c>
      <c r="P185" s="1"/>
      <c r="Q185" s="4" t="str">
        <f t="shared" si="2"/>
        <v>SPACL</v>
      </c>
    </row>
    <row r="186" spans="1:17" x14ac:dyDescent="0.25">
      <c r="A186" s="3">
        <v>193</v>
      </c>
      <c r="B186" s="218" t="s">
        <v>40</v>
      </c>
      <c r="C186" s="6">
        <f>INDEX(Data!M:M,MATCH(Q186,Data!AM:AM,0))</f>
        <v>0</v>
      </c>
      <c r="D186" s="6">
        <f>INDEX(Data!O:O,MATCH(Q186,Data!AM:AM,0))</f>
        <v>0</v>
      </c>
      <c r="E186" s="2" t="e">
        <f>INDEX(Data!T:T,MATCH($P186,Data!$AL:$AL,0))</f>
        <v>#N/A</v>
      </c>
      <c r="F186" s="2" t="e">
        <f>INDEX(Data!P:P,MATCH($P186,Data!$AL:$AL,0))</f>
        <v>#N/A</v>
      </c>
      <c r="G186" s="2" t="e">
        <f>INDEX(Data!Z:Z,MATCH($P186,Data!$AL:$AL,0))</f>
        <v>#N/A</v>
      </c>
      <c r="H186" s="2" t="e">
        <f>INDEX(Data!AA:AA,MATCH($P186,Data!$AL:$AL,0))</f>
        <v>#N/A</v>
      </c>
      <c r="I186" s="2" t="e">
        <f>INDEX(Data!AB:AB,MATCH($P186,Data!$AL:$AL,0))</f>
        <v>#N/A</v>
      </c>
      <c r="J186" s="2" t="e">
        <f>INDEX(Data!V:V,MATCH($P186,Data!$AL:$AL,0))</f>
        <v>#N/A</v>
      </c>
      <c r="K186" s="2" t="e">
        <f>INDEX(Data!W:W,MATCH($P186,Data!$AL:$AL,0))</f>
        <v>#N/A</v>
      </c>
      <c r="L186" s="2" t="e">
        <f>INDEX(Data!X:X,MATCH($P186,Data!$AL:$AL,0))</f>
        <v>#N/A</v>
      </c>
      <c r="M186" s="2" t="e">
        <f>INDEX(Data!AD:AD,MATCH($P186,Data!$AL:$AL,0))</f>
        <v>#N/A</v>
      </c>
      <c r="N186" s="2" t="e">
        <f>INDEX(Data!AF:AF,MATCH($P186,Data!$AL:$AL,0))</f>
        <v>#N/A</v>
      </c>
      <c r="O186" s="2" t="e">
        <f>INDEX(Data!Q:Q,MATCH($P186,Data!$AL:$AL,0))</f>
        <v>#N/A</v>
      </c>
      <c r="Q186" s="3" t="str">
        <f t="shared" ref="Q186:Q249" si="3">_xlfn.CONCAT(B186,P186)</f>
        <v>NCL</v>
      </c>
    </row>
    <row r="187" spans="1:17" x14ac:dyDescent="0.25">
      <c r="A187" s="3">
        <v>194</v>
      </c>
      <c r="B187" s="216" t="s">
        <v>41</v>
      </c>
      <c r="C187" s="7">
        <f>INDEX(Data!M:M,MATCH(Q187,Data!AM:AM,0))</f>
        <v>0</v>
      </c>
      <c r="D187" s="7">
        <f>INDEX(Data!O:O,MATCH(Q187,Data!AM:AM,0))</f>
        <v>0</v>
      </c>
      <c r="E187" t="e">
        <f>INDEX(Data!T:T,MATCH($P187,Data!$AL:$AL,0))</f>
        <v>#N/A</v>
      </c>
      <c r="F187" t="e">
        <f>INDEX(Data!P:P,MATCH($P187,Data!$AL:$AL,0))</f>
        <v>#N/A</v>
      </c>
      <c r="G187" t="e">
        <f>INDEX(Data!Z:Z,MATCH($P187,Data!$AL:$AL,0))</f>
        <v>#N/A</v>
      </c>
      <c r="H187" t="e">
        <f>INDEX(Data!AA:AA,MATCH($P187,Data!$AL:$AL,0))</f>
        <v>#N/A</v>
      </c>
      <c r="I187" t="e">
        <f>INDEX(Data!AB:AB,MATCH($P187,Data!$AL:$AL,0))</f>
        <v>#N/A</v>
      </c>
      <c r="J187" t="e">
        <f>INDEX(Data!V:V,MATCH($P187,Data!$AL:$AL,0))</f>
        <v>#N/A</v>
      </c>
      <c r="K187" t="e">
        <f>INDEX(Data!W:W,MATCH($P187,Data!$AL:$AL,0))</f>
        <v>#N/A</v>
      </c>
      <c r="L187" t="e">
        <f>INDEX(Data!X:X,MATCH($P187,Data!$AL:$AL,0))</f>
        <v>#N/A</v>
      </c>
      <c r="M187" t="e">
        <f>INDEX(Data!AD:AD,MATCH($P187,Data!$AL:$AL,0))</f>
        <v>#N/A</v>
      </c>
      <c r="N187" t="e">
        <f>INDEX(Data!AF:AF,MATCH($P187,Data!$AL:$AL,0))</f>
        <v>#N/A</v>
      </c>
      <c r="O187" t="e">
        <f>INDEX(Data!Q:Q,MATCH($P187,Data!$AL:$AL,0))</f>
        <v>#N/A</v>
      </c>
      <c r="Q187" s="3" t="str">
        <f t="shared" si="3"/>
        <v>CL</v>
      </c>
    </row>
    <row r="188" spans="1:17" x14ac:dyDescent="0.25">
      <c r="A188" s="3">
        <v>195</v>
      </c>
      <c r="B188" s="216" t="s">
        <v>42</v>
      </c>
      <c r="C188" s="7">
        <f>INDEX(Data!M:M,MATCH(Q188,Data!AM:AM,0))</f>
        <v>0</v>
      </c>
      <c r="D188" s="7">
        <f>INDEX(Data!O:O,MATCH(Q188,Data!AM:AM,0))</f>
        <v>0</v>
      </c>
      <c r="E188" t="e">
        <f>INDEX(Data!T:T,MATCH($P188,Data!$AL:$AL,0))</f>
        <v>#N/A</v>
      </c>
      <c r="F188" t="e">
        <f>INDEX(Data!P:P,MATCH($P188,Data!$AL:$AL,0))</f>
        <v>#N/A</v>
      </c>
      <c r="G188" t="e">
        <f>INDEX(Data!Z:Z,MATCH($P188,Data!$AL:$AL,0))</f>
        <v>#N/A</v>
      </c>
      <c r="H188" t="e">
        <f>INDEX(Data!AA:AA,MATCH($P188,Data!$AL:$AL,0))</f>
        <v>#N/A</v>
      </c>
      <c r="I188" t="e">
        <f>INDEX(Data!AB:AB,MATCH($P188,Data!$AL:$AL,0))</f>
        <v>#N/A</v>
      </c>
      <c r="J188" t="e">
        <f>INDEX(Data!V:V,MATCH($P188,Data!$AL:$AL,0))</f>
        <v>#N/A</v>
      </c>
      <c r="K188" t="e">
        <f>INDEX(Data!W:W,MATCH($P188,Data!$AL:$AL,0))</f>
        <v>#N/A</v>
      </c>
      <c r="L188" t="e">
        <f>INDEX(Data!X:X,MATCH($P188,Data!$AL:$AL,0))</f>
        <v>#N/A</v>
      </c>
      <c r="M188" t="e">
        <f>INDEX(Data!AD:AD,MATCH($P188,Data!$AL:$AL,0))</f>
        <v>#N/A</v>
      </c>
      <c r="N188" t="e">
        <f>INDEX(Data!AF:AF,MATCH($P188,Data!$AL:$AL,0))</f>
        <v>#N/A</v>
      </c>
      <c r="O188" t="e">
        <f>INDEX(Data!Q:Q,MATCH($P188,Data!$AL:$AL,0))</f>
        <v>#N/A</v>
      </c>
      <c r="Q188" s="3" t="str">
        <f t="shared" si="3"/>
        <v>ACL</v>
      </c>
    </row>
    <row r="189" spans="1:17" x14ac:dyDescent="0.25">
      <c r="A189" s="3">
        <v>196</v>
      </c>
      <c r="B189" s="216" t="s">
        <v>43</v>
      </c>
      <c r="C189" s="7">
        <f>INDEX(Data!M:M,MATCH(Q189,Data!AM:AM,0))</f>
        <v>0</v>
      </c>
      <c r="D189" s="7">
        <f>INDEX(Data!O:O,MATCH(Q189,Data!AM:AM,0))</f>
        <v>0</v>
      </c>
      <c r="E189" t="e">
        <f>INDEX(Data!T:T,MATCH($P189,Data!$AL:$AL,0))</f>
        <v>#N/A</v>
      </c>
      <c r="F189" t="e">
        <f>INDEX(Data!P:P,MATCH($P189,Data!$AL:$AL,0))</f>
        <v>#N/A</v>
      </c>
      <c r="G189" t="e">
        <f>INDEX(Data!Z:Z,MATCH($P189,Data!$AL:$AL,0))</f>
        <v>#N/A</v>
      </c>
      <c r="H189" t="e">
        <f>INDEX(Data!AA:AA,MATCH($P189,Data!$AL:$AL,0))</f>
        <v>#N/A</v>
      </c>
      <c r="I189" t="e">
        <f>INDEX(Data!AB:AB,MATCH($P189,Data!$AL:$AL,0))</f>
        <v>#N/A</v>
      </c>
      <c r="J189" t="e">
        <f>INDEX(Data!V:V,MATCH($P189,Data!$AL:$AL,0))</f>
        <v>#N/A</v>
      </c>
      <c r="K189" t="e">
        <f>INDEX(Data!W:W,MATCH($P189,Data!$AL:$AL,0))</f>
        <v>#N/A</v>
      </c>
      <c r="L189" t="e">
        <f>INDEX(Data!X:X,MATCH($P189,Data!$AL:$AL,0))</f>
        <v>#N/A</v>
      </c>
      <c r="M189" t="e">
        <f>INDEX(Data!AD:AD,MATCH($P189,Data!$AL:$AL,0))</f>
        <v>#N/A</v>
      </c>
      <c r="N189" t="e">
        <f>INDEX(Data!AF:AF,MATCH($P189,Data!$AL:$AL,0))</f>
        <v>#N/A</v>
      </c>
      <c r="O189" t="e">
        <f>INDEX(Data!Q:Q,MATCH($P189,Data!$AL:$AL,0))</f>
        <v>#N/A</v>
      </c>
      <c r="Q189" s="3" t="str">
        <f t="shared" si="3"/>
        <v>SPCL</v>
      </c>
    </row>
    <row r="190" spans="1:17" x14ac:dyDescent="0.25">
      <c r="A190" s="4">
        <v>197</v>
      </c>
      <c r="B190" s="217" t="s">
        <v>44</v>
      </c>
      <c r="C190" s="8">
        <f>INDEX(Data!M:M,MATCH(Q190,Data!AM:AM,0))</f>
        <v>0</v>
      </c>
      <c r="D190" s="8">
        <f>INDEX(Data!O:O,MATCH(Q190,Data!AM:AM,0))</f>
        <v>0</v>
      </c>
      <c r="E190" s="1" t="e">
        <f>INDEX(Data!T:T,MATCH($P190,Data!$AL:$AL,0))</f>
        <v>#N/A</v>
      </c>
      <c r="F190" s="1" t="e">
        <f>INDEX(Data!P:P,MATCH($P190,Data!$AL:$AL,0))</f>
        <v>#N/A</v>
      </c>
      <c r="G190" s="1" t="e">
        <f>INDEX(Data!Z:Z,MATCH($P190,Data!$AL:$AL,0))</f>
        <v>#N/A</v>
      </c>
      <c r="H190" s="1" t="e">
        <f>INDEX(Data!AA:AA,MATCH($P190,Data!$AL:$AL,0))</f>
        <v>#N/A</v>
      </c>
      <c r="I190" s="1" t="e">
        <f>INDEX(Data!AB:AB,MATCH($P190,Data!$AL:$AL,0))</f>
        <v>#N/A</v>
      </c>
      <c r="J190" s="1" t="e">
        <f>INDEX(Data!V:V,MATCH($P190,Data!$AL:$AL,0))</f>
        <v>#N/A</v>
      </c>
      <c r="K190" s="1" t="e">
        <f>INDEX(Data!W:W,MATCH($P190,Data!$AL:$AL,0))</f>
        <v>#N/A</v>
      </c>
      <c r="L190" s="1" t="e">
        <f>INDEX(Data!X:X,MATCH($P190,Data!$AL:$AL,0))</f>
        <v>#N/A</v>
      </c>
      <c r="M190" s="1" t="e">
        <f>INDEX(Data!AD:AD,MATCH($P190,Data!$AL:$AL,0))</f>
        <v>#N/A</v>
      </c>
      <c r="N190" s="1" t="e">
        <f>INDEX(Data!AF:AF,MATCH($P190,Data!$AL:$AL,0))</f>
        <v>#N/A</v>
      </c>
      <c r="O190" s="1" t="e">
        <f>INDEX(Data!Q:Q,MATCH($P190,Data!$AL:$AL,0))</f>
        <v>#N/A</v>
      </c>
      <c r="P190" s="1"/>
      <c r="Q190" s="4" t="str">
        <f t="shared" si="3"/>
        <v>SPACL</v>
      </c>
    </row>
    <row r="191" spans="1:17" x14ac:dyDescent="0.25">
      <c r="A191" s="3">
        <v>198</v>
      </c>
      <c r="B191" s="218" t="s">
        <v>40</v>
      </c>
      <c r="C191" s="6">
        <f>INDEX(Data!M:M,MATCH(Q191,Data!AM:AM,0))</f>
        <v>0</v>
      </c>
      <c r="D191" s="6">
        <f>INDEX(Data!O:O,MATCH(Q191,Data!AM:AM,0))</f>
        <v>0</v>
      </c>
      <c r="E191" s="2" t="e">
        <f>INDEX(Data!T:T,MATCH($P191,Data!$AL:$AL,0))</f>
        <v>#N/A</v>
      </c>
      <c r="F191" s="2" t="e">
        <f>INDEX(Data!P:P,MATCH($P191,Data!$AL:$AL,0))</f>
        <v>#N/A</v>
      </c>
      <c r="G191" s="2" t="e">
        <f>INDEX(Data!Z:Z,MATCH($P191,Data!$AL:$AL,0))</f>
        <v>#N/A</v>
      </c>
      <c r="H191" s="2" t="e">
        <f>INDEX(Data!AA:AA,MATCH($P191,Data!$AL:$AL,0))</f>
        <v>#N/A</v>
      </c>
      <c r="I191" s="2" t="e">
        <f>INDEX(Data!AB:AB,MATCH($P191,Data!$AL:$AL,0))</f>
        <v>#N/A</v>
      </c>
      <c r="J191" s="2" t="e">
        <f>INDEX(Data!V:V,MATCH($P191,Data!$AL:$AL,0))</f>
        <v>#N/A</v>
      </c>
      <c r="K191" s="2" t="e">
        <f>INDEX(Data!W:W,MATCH($P191,Data!$AL:$AL,0))</f>
        <v>#N/A</v>
      </c>
      <c r="L191" s="2" t="e">
        <f>INDEX(Data!X:X,MATCH($P191,Data!$AL:$AL,0))</f>
        <v>#N/A</v>
      </c>
      <c r="M191" s="2" t="e">
        <f>INDEX(Data!AD:AD,MATCH($P191,Data!$AL:$AL,0))</f>
        <v>#N/A</v>
      </c>
      <c r="N191" s="2" t="e">
        <f>INDEX(Data!AF:AF,MATCH($P191,Data!$AL:$AL,0))</f>
        <v>#N/A</v>
      </c>
      <c r="O191" s="2" t="e">
        <f>INDEX(Data!Q:Q,MATCH($P191,Data!$AL:$AL,0))</f>
        <v>#N/A</v>
      </c>
      <c r="Q191" s="3" t="str">
        <f t="shared" si="3"/>
        <v>NCL</v>
      </c>
    </row>
    <row r="192" spans="1:17" x14ac:dyDescent="0.25">
      <c r="A192" s="3">
        <v>199</v>
      </c>
      <c r="B192" s="216" t="s">
        <v>41</v>
      </c>
      <c r="C192" s="7">
        <f>INDEX(Data!M:M,MATCH(Q192,Data!AM:AM,0))</f>
        <v>0</v>
      </c>
      <c r="D192" s="7">
        <f>INDEX(Data!O:O,MATCH(Q192,Data!AM:AM,0))</f>
        <v>0</v>
      </c>
      <c r="E192" t="e">
        <f>INDEX(Data!T:T,MATCH($P192,Data!$AL:$AL,0))</f>
        <v>#N/A</v>
      </c>
      <c r="F192" t="e">
        <f>INDEX(Data!P:P,MATCH($P192,Data!$AL:$AL,0))</f>
        <v>#N/A</v>
      </c>
      <c r="G192" t="e">
        <f>INDEX(Data!Z:Z,MATCH($P192,Data!$AL:$AL,0))</f>
        <v>#N/A</v>
      </c>
      <c r="H192" t="e">
        <f>INDEX(Data!AA:AA,MATCH($P192,Data!$AL:$AL,0))</f>
        <v>#N/A</v>
      </c>
      <c r="I192" t="e">
        <f>INDEX(Data!AB:AB,MATCH($P192,Data!$AL:$AL,0))</f>
        <v>#N/A</v>
      </c>
      <c r="J192" t="e">
        <f>INDEX(Data!V:V,MATCH($P192,Data!$AL:$AL,0))</f>
        <v>#N/A</v>
      </c>
      <c r="K192" t="e">
        <f>INDEX(Data!W:W,MATCH($P192,Data!$AL:$AL,0))</f>
        <v>#N/A</v>
      </c>
      <c r="L192" t="e">
        <f>INDEX(Data!X:X,MATCH($P192,Data!$AL:$AL,0))</f>
        <v>#N/A</v>
      </c>
      <c r="M192" t="e">
        <f>INDEX(Data!AD:AD,MATCH($P192,Data!$AL:$AL,0))</f>
        <v>#N/A</v>
      </c>
      <c r="N192" t="e">
        <f>INDEX(Data!AF:AF,MATCH($P192,Data!$AL:$AL,0))</f>
        <v>#N/A</v>
      </c>
      <c r="O192" t="e">
        <f>INDEX(Data!Q:Q,MATCH($P192,Data!$AL:$AL,0))</f>
        <v>#N/A</v>
      </c>
      <c r="Q192" s="3" t="str">
        <f t="shared" si="3"/>
        <v>CL</v>
      </c>
    </row>
    <row r="193" spans="1:17" x14ac:dyDescent="0.25">
      <c r="A193" s="3">
        <v>200</v>
      </c>
      <c r="B193" s="216" t="s">
        <v>42</v>
      </c>
      <c r="C193" s="7">
        <f>INDEX(Data!M:M,MATCH(Q193,Data!AM:AM,0))</f>
        <v>0</v>
      </c>
      <c r="D193" s="7">
        <f>INDEX(Data!O:O,MATCH(Q193,Data!AM:AM,0))</f>
        <v>0</v>
      </c>
      <c r="E193" t="e">
        <f>INDEX(Data!T:T,MATCH($P193,Data!$AL:$AL,0))</f>
        <v>#N/A</v>
      </c>
      <c r="F193" t="e">
        <f>INDEX(Data!P:P,MATCH($P193,Data!$AL:$AL,0))</f>
        <v>#N/A</v>
      </c>
      <c r="G193" t="e">
        <f>INDEX(Data!Z:Z,MATCH($P193,Data!$AL:$AL,0))</f>
        <v>#N/A</v>
      </c>
      <c r="H193" t="e">
        <f>INDEX(Data!AA:AA,MATCH($P193,Data!$AL:$AL,0))</f>
        <v>#N/A</v>
      </c>
      <c r="I193" t="e">
        <f>INDEX(Data!AB:AB,MATCH($P193,Data!$AL:$AL,0))</f>
        <v>#N/A</v>
      </c>
      <c r="J193" t="e">
        <f>INDEX(Data!V:V,MATCH($P193,Data!$AL:$AL,0))</f>
        <v>#N/A</v>
      </c>
      <c r="K193" t="e">
        <f>INDEX(Data!W:W,MATCH($P193,Data!$AL:$AL,0))</f>
        <v>#N/A</v>
      </c>
      <c r="L193" t="e">
        <f>INDEX(Data!X:X,MATCH($P193,Data!$AL:$AL,0))</f>
        <v>#N/A</v>
      </c>
      <c r="M193" t="e">
        <f>INDEX(Data!AD:AD,MATCH($P193,Data!$AL:$AL,0))</f>
        <v>#N/A</v>
      </c>
      <c r="N193" t="e">
        <f>INDEX(Data!AF:AF,MATCH($P193,Data!$AL:$AL,0))</f>
        <v>#N/A</v>
      </c>
      <c r="O193" t="e">
        <f>INDEX(Data!Q:Q,MATCH($P193,Data!$AL:$AL,0))</f>
        <v>#N/A</v>
      </c>
      <c r="Q193" s="3" t="str">
        <f t="shared" si="3"/>
        <v>ACL</v>
      </c>
    </row>
    <row r="194" spans="1:17" x14ac:dyDescent="0.25">
      <c r="A194" s="3">
        <v>201</v>
      </c>
      <c r="B194" s="216" t="s">
        <v>43</v>
      </c>
      <c r="C194" s="7">
        <f>INDEX(Data!M:M,MATCH(Q194,Data!AM:AM,0))</f>
        <v>0</v>
      </c>
      <c r="D194" s="7">
        <f>INDEX(Data!O:O,MATCH(Q194,Data!AM:AM,0))</f>
        <v>0</v>
      </c>
      <c r="E194" t="e">
        <f>INDEX(Data!T:T,MATCH($P194,Data!$AL:$AL,0))</f>
        <v>#N/A</v>
      </c>
      <c r="F194" t="e">
        <f>INDEX(Data!P:P,MATCH($P194,Data!$AL:$AL,0))</f>
        <v>#N/A</v>
      </c>
      <c r="G194" t="e">
        <f>INDEX(Data!Z:Z,MATCH($P194,Data!$AL:$AL,0))</f>
        <v>#N/A</v>
      </c>
      <c r="H194" t="e">
        <f>INDEX(Data!AA:AA,MATCH($P194,Data!$AL:$AL,0))</f>
        <v>#N/A</v>
      </c>
      <c r="I194" t="e">
        <f>INDEX(Data!AB:AB,MATCH($P194,Data!$AL:$AL,0))</f>
        <v>#N/A</v>
      </c>
      <c r="J194" t="e">
        <f>INDEX(Data!V:V,MATCH($P194,Data!$AL:$AL,0))</f>
        <v>#N/A</v>
      </c>
      <c r="K194" t="e">
        <f>INDEX(Data!W:W,MATCH($P194,Data!$AL:$AL,0))</f>
        <v>#N/A</v>
      </c>
      <c r="L194" t="e">
        <f>INDEX(Data!X:X,MATCH($P194,Data!$AL:$AL,0))</f>
        <v>#N/A</v>
      </c>
      <c r="M194" t="e">
        <f>INDEX(Data!AD:AD,MATCH($P194,Data!$AL:$AL,0))</f>
        <v>#N/A</v>
      </c>
      <c r="N194" t="e">
        <f>INDEX(Data!AF:AF,MATCH($P194,Data!$AL:$AL,0))</f>
        <v>#N/A</v>
      </c>
      <c r="O194" t="e">
        <f>INDEX(Data!Q:Q,MATCH($P194,Data!$AL:$AL,0))</f>
        <v>#N/A</v>
      </c>
      <c r="Q194" s="3" t="str">
        <f t="shared" si="3"/>
        <v>SPCL</v>
      </c>
    </row>
    <row r="195" spans="1:17" x14ac:dyDescent="0.25">
      <c r="A195" s="4">
        <v>202</v>
      </c>
      <c r="B195" s="217" t="s">
        <v>44</v>
      </c>
      <c r="C195" s="8">
        <f>INDEX(Data!M:M,MATCH(Q195,Data!AM:AM,0))</f>
        <v>0</v>
      </c>
      <c r="D195" s="8">
        <f>INDEX(Data!O:O,MATCH(Q195,Data!AM:AM,0))</f>
        <v>0</v>
      </c>
      <c r="E195" s="1" t="e">
        <f>INDEX(Data!T:T,MATCH($P195,Data!$AL:$AL,0))</f>
        <v>#N/A</v>
      </c>
      <c r="F195" s="1" t="e">
        <f>INDEX(Data!P:P,MATCH($P195,Data!$AL:$AL,0))</f>
        <v>#N/A</v>
      </c>
      <c r="G195" s="1" t="e">
        <f>INDEX(Data!Z:Z,MATCH($P195,Data!$AL:$AL,0))</f>
        <v>#N/A</v>
      </c>
      <c r="H195" s="1" t="e">
        <f>INDEX(Data!AA:AA,MATCH($P195,Data!$AL:$AL,0))</f>
        <v>#N/A</v>
      </c>
      <c r="I195" s="1" t="e">
        <f>INDEX(Data!AB:AB,MATCH($P195,Data!$AL:$AL,0))</f>
        <v>#N/A</v>
      </c>
      <c r="J195" s="1" t="e">
        <f>INDEX(Data!V:V,MATCH($P195,Data!$AL:$AL,0))</f>
        <v>#N/A</v>
      </c>
      <c r="K195" s="1" t="e">
        <f>INDEX(Data!W:W,MATCH($P195,Data!$AL:$AL,0))</f>
        <v>#N/A</v>
      </c>
      <c r="L195" s="1" t="e">
        <f>INDEX(Data!X:X,MATCH($P195,Data!$AL:$AL,0))</f>
        <v>#N/A</v>
      </c>
      <c r="M195" s="1" t="e">
        <f>INDEX(Data!AD:AD,MATCH($P195,Data!$AL:$AL,0))</f>
        <v>#N/A</v>
      </c>
      <c r="N195" s="1" t="e">
        <f>INDEX(Data!AF:AF,MATCH($P195,Data!$AL:$AL,0))</f>
        <v>#N/A</v>
      </c>
      <c r="O195" s="1" t="e">
        <f>INDEX(Data!Q:Q,MATCH($P195,Data!$AL:$AL,0))</f>
        <v>#N/A</v>
      </c>
      <c r="P195" s="1"/>
      <c r="Q195" s="4" t="str">
        <f t="shared" si="3"/>
        <v>SPACL</v>
      </c>
    </row>
    <row r="196" spans="1:17" x14ac:dyDescent="0.25">
      <c r="A196" s="3">
        <v>203</v>
      </c>
      <c r="B196" s="218" t="s">
        <v>40</v>
      </c>
      <c r="C196" s="6">
        <f>INDEX(Data!M:M,MATCH(Q196,Data!AM:AM,0))</f>
        <v>0</v>
      </c>
      <c r="D196" s="6">
        <f>INDEX(Data!O:O,MATCH(Q196,Data!AM:AM,0))</f>
        <v>0</v>
      </c>
      <c r="E196" s="2" t="e">
        <f>INDEX(Data!T:T,MATCH($P196,Data!$AL:$AL,0))</f>
        <v>#N/A</v>
      </c>
      <c r="F196" s="2" t="e">
        <f>INDEX(Data!P:P,MATCH($P196,Data!$AL:$AL,0))</f>
        <v>#N/A</v>
      </c>
      <c r="G196" s="2" t="e">
        <f>INDEX(Data!Z:Z,MATCH($P196,Data!$AL:$AL,0))</f>
        <v>#N/A</v>
      </c>
      <c r="H196" s="2" t="e">
        <f>INDEX(Data!AA:AA,MATCH($P196,Data!$AL:$AL,0))</f>
        <v>#N/A</v>
      </c>
      <c r="I196" s="2" t="e">
        <f>INDEX(Data!AB:AB,MATCH($P196,Data!$AL:$AL,0))</f>
        <v>#N/A</v>
      </c>
      <c r="J196" s="2" t="e">
        <f>INDEX(Data!V:V,MATCH($P196,Data!$AL:$AL,0))</f>
        <v>#N/A</v>
      </c>
      <c r="K196" s="2" t="e">
        <f>INDEX(Data!W:W,MATCH($P196,Data!$AL:$AL,0))</f>
        <v>#N/A</v>
      </c>
      <c r="L196" s="2" t="e">
        <f>INDEX(Data!X:X,MATCH($P196,Data!$AL:$AL,0))</f>
        <v>#N/A</v>
      </c>
      <c r="M196" s="2" t="e">
        <f>INDEX(Data!AD:AD,MATCH($P196,Data!$AL:$AL,0))</f>
        <v>#N/A</v>
      </c>
      <c r="N196" s="2" t="e">
        <f>INDEX(Data!AF:AF,MATCH($P196,Data!$AL:$AL,0))</f>
        <v>#N/A</v>
      </c>
      <c r="O196" s="2" t="e">
        <f>INDEX(Data!Q:Q,MATCH($P196,Data!$AL:$AL,0))</f>
        <v>#N/A</v>
      </c>
      <c r="Q196" s="3" t="str">
        <f t="shared" si="3"/>
        <v>NCL</v>
      </c>
    </row>
    <row r="197" spans="1:17" x14ac:dyDescent="0.25">
      <c r="A197" s="3">
        <v>204</v>
      </c>
      <c r="B197" s="216" t="s">
        <v>41</v>
      </c>
      <c r="C197" s="7">
        <f>INDEX(Data!M:M,MATCH(Q197,Data!AM:AM,0))</f>
        <v>0</v>
      </c>
      <c r="D197" s="7">
        <f>INDEX(Data!O:O,MATCH(Q197,Data!AM:AM,0))</f>
        <v>0</v>
      </c>
      <c r="E197" t="e">
        <f>INDEX(Data!T:T,MATCH($P197,Data!$AL:$AL,0))</f>
        <v>#N/A</v>
      </c>
      <c r="F197" t="e">
        <f>INDEX(Data!P:P,MATCH($P197,Data!$AL:$AL,0))</f>
        <v>#N/A</v>
      </c>
      <c r="G197" t="e">
        <f>INDEX(Data!Z:Z,MATCH($P197,Data!$AL:$AL,0))</f>
        <v>#N/A</v>
      </c>
      <c r="H197" t="e">
        <f>INDEX(Data!AA:AA,MATCH($P197,Data!$AL:$AL,0))</f>
        <v>#N/A</v>
      </c>
      <c r="I197" t="e">
        <f>INDEX(Data!AB:AB,MATCH($P197,Data!$AL:$AL,0))</f>
        <v>#N/A</v>
      </c>
      <c r="J197" t="e">
        <f>INDEX(Data!V:V,MATCH($P197,Data!$AL:$AL,0))</f>
        <v>#N/A</v>
      </c>
      <c r="K197" t="e">
        <f>INDEX(Data!W:W,MATCH($P197,Data!$AL:$AL,0))</f>
        <v>#N/A</v>
      </c>
      <c r="L197" t="e">
        <f>INDEX(Data!X:X,MATCH($P197,Data!$AL:$AL,0))</f>
        <v>#N/A</v>
      </c>
      <c r="M197" t="e">
        <f>INDEX(Data!AD:AD,MATCH($P197,Data!$AL:$AL,0))</f>
        <v>#N/A</v>
      </c>
      <c r="N197" t="e">
        <f>INDEX(Data!AF:AF,MATCH($P197,Data!$AL:$AL,0))</f>
        <v>#N/A</v>
      </c>
      <c r="O197" t="e">
        <f>INDEX(Data!Q:Q,MATCH($P197,Data!$AL:$AL,0))</f>
        <v>#N/A</v>
      </c>
      <c r="Q197" s="3" t="str">
        <f t="shared" si="3"/>
        <v>CL</v>
      </c>
    </row>
    <row r="198" spans="1:17" x14ac:dyDescent="0.25">
      <c r="A198" s="3">
        <v>205</v>
      </c>
      <c r="B198" s="216" t="s">
        <v>42</v>
      </c>
      <c r="C198" s="7">
        <f>INDEX(Data!M:M,MATCH(Q198,Data!AM:AM,0))</f>
        <v>0</v>
      </c>
      <c r="D198" s="7">
        <f>INDEX(Data!O:O,MATCH(Q198,Data!AM:AM,0))</f>
        <v>0</v>
      </c>
      <c r="E198" t="e">
        <f>INDEX(Data!T:T,MATCH($P198,Data!$AL:$AL,0))</f>
        <v>#N/A</v>
      </c>
      <c r="F198" t="e">
        <f>INDEX(Data!P:P,MATCH($P198,Data!$AL:$AL,0))</f>
        <v>#N/A</v>
      </c>
      <c r="G198" t="e">
        <f>INDEX(Data!Z:Z,MATCH($P198,Data!$AL:$AL,0))</f>
        <v>#N/A</v>
      </c>
      <c r="H198" t="e">
        <f>INDEX(Data!AA:AA,MATCH($P198,Data!$AL:$AL,0))</f>
        <v>#N/A</v>
      </c>
      <c r="I198" t="e">
        <f>INDEX(Data!AB:AB,MATCH($P198,Data!$AL:$AL,0))</f>
        <v>#N/A</v>
      </c>
      <c r="J198" t="e">
        <f>INDEX(Data!V:V,MATCH($P198,Data!$AL:$AL,0))</f>
        <v>#N/A</v>
      </c>
      <c r="K198" t="e">
        <f>INDEX(Data!W:W,MATCH($P198,Data!$AL:$AL,0))</f>
        <v>#N/A</v>
      </c>
      <c r="L198" t="e">
        <f>INDEX(Data!X:X,MATCH($P198,Data!$AL:$AL,0))</f>
        <v>#N/A</v>
      </c>
      <c r="M198" t="e">
        <f>INDEX(Data!AD:AD,MATCH($P198,Data!$AL:$AL,0))</f>
        <v>#N/A</v>
      </c>
      <c r="N198" t="e">
        <f>INDEX(Data!AF:AF,MATCH($P198,Data!$AL:$AL,0))</f>
        <v>#N/A</v>
      </c>
      <c r="O198" t="e">
        <f>INDEX(Data!Q:Q,MATCH($P198,Data!$AL:$AL,0))</f>
        <v>#N/A</v>
      </c>
      <c r="Q198" s="3" t="str">
        <f t="shared" si="3"/>
        <v>ACL</v>
      </c>
    </row>
    <row r="199" spans="1:17" x14ac:dyDescent="0.25">
      <c r="A199" s="3">
        <v>206</v>
      </c>
      <c r="B199" s="216" t="s">
        <v>43</v>
      </c>
      <c r="C199" s="7">
        <f>INDEX(Data!M:M,MATCH(Q199,Data!AM:AM,0))</f>
        <v>0</v>
      </c>
      <c r="D199" s="7">
        <f>INDEX(Data!O:O,MATCH(Q199,Data!AM:AM,0))</f>
        <v>0</v>
      </c>
      <c r="E199" t="e">
        <f>INDEX(Data!T:T,MATCH($P199,Data!$AL:$AL,0))</f>
        <v>#N/A</v>
      </c>
      <c r="F199" t="e">
        <f>INDEX(Data!P:P,MATCH($P199,Data!$AL:$AL,0))</f>
        <v>#N/A</v>
      </c>
      <c r="G199" t="e">
        <f>INDEX(Data!Z:Z,MATCH($P199,Data!$AL:$AL,0))</f>
        <v>#N/A</v>
      </c>
      <c r="H199" t="e">
        <f>INDEX(Data!AA:AA,MATCH($P199,Data!$AL:$AL,0))</f>
        <v>#N/A</v>
      </c>
      <c r="I199" t="e">
        <f>INDEX(Data!AB:AB,MATCH($P199,Data!$AL:$AL,0))</f>
        <v>#N/A</v>
      </c>
      <c r="J199" t="e">
        <f>INDEX(Data!V:V,MATCH($P199,Data!$AL:$AL,0))</f>
        <v>#N/A</v>
      </c>
      <c r="K199" t="e">
        <f>INDEX(Data!W:W,MATCH($P199,Data!$AL:$AL,0))</f>
        <v>#N/A</v>
      </c>
      <c r="L199" t="e">
        <f>INDEX(Data!X:X,MATCH($P199,Data!$AL:$AL,0))</f>
        <v>#N/A</v>
      </c>
      <c r="M199" t="e">
        <f>INDEX(Data!AD:AD,MATCH($P199,Data!$AL:$AL,0))</f>
        <v>#N/A</v>
      </c>
      <c r="N199" t="e">
        <f>INDEX(Data!AF:AF,MATCH($P199,Data!$AL:$AL,0))</f>
        <v>#N/A</v>
      </c>
      <c r="O199" t="e">
        <f>INDEX(Data!Q:Q,MATCH($P199,Data!$AL:$AL,0))</f>
        <v>#N/A</v>
      </c>
      <c r="Q199" s="3" t="str">
        <f t="shared" si="3"/>
        <v>SPCL</v>
      </c>
    </row>
    <row r="200" spans="1:17" x14ac:dyDescent="0.25">
      <c r="A200" s="4">
        <v>207</v>
      </c>
      <c r="B200" s="217" t="s">
        <v>44</v>
      </c>
      <c r="C200" s="8">
        <f>INDEX(Data!M:M,MATCH(Q200,Data!AM:AM,0))</f>
        <v>0</v>
      </c>
      <c r="D200" s="8">
        <f>INDEX(Data!O:O,MATCH(Q200,Data!AM:AM,0))</f>
        <v>0</v>
      </c>
      <c r="E200" s="1" t="e">
        <f>INDEX(Data!T:T,MATCH($P200,Data!$AL:$AL,0))</f>
        <v>#N/A</v>
      </c>
      <c r="F200" s="1" t="e">
        <f>INDEX(Data!P:P,MATCH($P200,Data!$AL:$AL,0))</f>
        <v>#N/A</v>
      </c>
      <c r="G200" s="1" t="e">
        <f>INDEX(Data!Z:Z,MATCH($P200,Data!$AL:$AL,0))</f>
        <v>#N/A</v>
      </c>
      <c r="H200" s="1" t="e">
        <f>INDEX(Data!AA:AA,MATCH($P200,Data!$AL:$AL,0))</f>
        <v>#N/A</v>
      </c>
      <c r="I200" s="1" t="e">
        <f>INDEX(Data!AB:AB,MATCH($P200,Data!$AL:$AL,0))</f>
        <v>#N/A</v>
      </c>
      <c r="J200" s="1" t="e">
        <f>INDEX(Data!V:V,MATCH($P200,Data!$AL:$AL,0))</f>
        <v>#N/A</v>
      </c>
      <c r="K200" s="1" t="e">
        <f>INDEX(Data!W:W,MATCH($P200,Data!$AL:$AL,0))</f>
        <v>#N/A</v>
      </c>
      <c r="L200" s="1" t="e">
        <f>INDEX(Data!X:X,MATCH($P200,Data!$AL:$AL,0))</f>
        <v>#N/A</v>
      </c>
      <c r="M200" s="1" t="e">
        <f>INDEX(Data!AD:AD,MATCH($P200,Data!$AL:$AL,0))</f>
        <v>#N/A</v>
      </c>
      <c r="N200" s="1" t="e">
        <f>INDEX(Data!AF:AF,MATCH($P200,Data!$AL:$AL,0))</f>
        <v>#N/A</v>
      </c>
      <c r="O200" s="1" t="e">
        <f>INDEX(Data!Q:Q,MATCH($P200,Data!$AL:$AL,0))</f>
        <v>#N/A</v>
      </c>
      <c r="P200" s="1"/>
      <c r="Q200" s="4" t="str">
        <f t="shared" si="3"/>
        <v>SPACL</v>
      </c>
    </row>
    <row r="201" spans="1:17" x14ac:dyDescent="0.25">
      <c r="A201" s="3">
        <v>208</v>
      </c>
      <c r="B201" s="218" t="s">
        <v>40</v>
      </c>
      <c r="C201" s="6">
        <f>INDEX(Data!M:M,MATCH(Q201,Data!AM:AM,0))</f>
        <v>0</v>
      </c>
      <c r="D201" s="6">
        <f>INDEX(Data!O:O,MATCH(Q201,Data!AM:AM,0))</f>
        <v>0</v>
      </c>
      <c r="E201" s="2" t="e">
        <f>INDEX(Data!T:T,MATCH($P201,Data!$AL:$AL,0))</f>
        <v>#N/A</v>
      </c>
      <c r="F201" s="2" t="e">
        <f>INDEX(Data!P:P,MATCH($P201,Data!$AL:$AL,0))</f>
        <v>#N/A</v>
      </c>
      <c r="G201" s="2" t="e">
        <f>INDEX(Data!Z:Z,MATCH($P201,Data!$AL:$AL,0))</f>
        <v>#N/A</v>
      </c>
      <c r="H201" s="2" t="e">
        <f>INDEX(Data!AA:AA,MATCH($P201,Data!$AL:$AL,0))</f>
        <v>#N/A</v>
      </c>
      <c r="I201" s="2" t="e">
        <f>INDEX(Data!AB:AB,MATCH($P201,Data!$AL:$AL,0))</f>
        <v>#N/A</v>
      </c>
      <c r="J201" s="2" t="e">
        <f>INDEX(Data!V:V,MATCH($P201,Data!$AL:$AL,0))</f>
        <v>#N/A</v>
      </c>
      <c r="K201" s="2" t="e">
        <f>INDEX(Data!W:W,MATCH($P201,Data!$AL:$AL,0))</f>
        <v>#N/A</v>
      </c>
      <c r="L201" s="2" t="e">
        <f>INDEX(Data!X:X,MATCH($P201,Data!$AL:$AL,0))</f>
        <v>#N/A</v>
      </c>
      <c r="M201" s="2" t="e">
        <f>INDEX(Data!AD:AD,MATCH($P201,Data!$AL:$AL,0))</f>
        <v>#N/A</v>
      </c>
      <c r="N201" s="2" t="e">
        <f>INDEX(Data!AF:AF,MATCH($P201,Data!$AL:$AL,0))</f>
        <v>#N/A</v>
      </c>
      <c r="O201" s="2" t="e">
        <f>INDEX(Data!Q:Q,MATCH($P201,Data!$AL:$AL,0))</f>
        <v>#N/A</v>
      </c>
      <c r="Q201" s="3" t="str">
        <f t="shared" si="3"/>
        <v>NCL</v>
      </c>
    </row>
    <row r="202" spans="1:17" x14ac:dyDescent="0.25">
      <c r="A202" s="3">
        <v>209</v>
      </c>
      <c r="B202" s="216" t="s">
        <v>41</v>
      </c>
      <c r="C202" s="7">
        <f>INDEX(Data!M:M,MATCH(Q202,Data!AM:AM,0))</f>
        <v>0</v>
      </c>
      <c r="D202" s="7">
        <f>INDEX(Data!O:O,MATCH(Q202,Data!AM:AM,0))</f>
        <v>0</v>
      </c>
      <c r="E202" t="e">
        <f>INDEX(Data!T:T,MATCH($P202,Data!$AL:$AL,0))</f>
        <v>#N/A</v>
      </c>
      <c r="F202" t="e">
        <f>INDEX(Data!P:P,MATCH($P202,Data!$AL:$AL,0))</f>
        <v>#N/A</v>
      </c>
      <c r="G202" t="e">
        <f>INDEX(Data!Z:Z,MATCH($P202,Data!$AL:$AL,0))</f>
        <v>#N/A</v>
      </c>
      <c r="H202" t="e">
        <f>INDEX(Data!AA:AA,MATCH($P202,Data!$AL:$AL,0))</f>
        <v>#N/A</v>
      </c>
      <c r="I202" t="e">
        <f>INDEX(Data!AB:AB,MATCH($P202,Data!$AL:$AL,0))</f>
        <v>#N/A</v>
      </c>
      <c r="J202" t="e">
        <f>INDEX(Data!V:V,MATCH($P202,Data!$AL:$AL,0))</f>
        <v>#N/A</v>
      </c>
      <c r="K202" t="e">
        <f>INDEX(Data!W:W,MATCH($P202,Data!$AL:$AL,0))</f>
        <v>#N/A</v>
      </c>
      <c r="L202" t="e">
        <f>INDEX(Data!X:X,MATCH($P202,Data!$AL:$AL,0))</f>
        <v>#N/A</v>
      </c>
      <c r="M202" t="e">
        <f>INDEX(Data!AD:AD,MATCH($P202,Data!$AL:$AL,0))</f>
        <v>#N/A</v>
      </c>
      <c r="N202" t="e">
        <f>INDEX(Data!AF:AF,MATCH($P202,Data!$AL:$AL,0))</f>
        <v>#N/A</v>
      </c>
      <c r="O202" t="e">
        <f>INDEX(Data!Q:Q,MATCH($P202,Data!$AL:$AL,0))</f>
        <v>#N/A</v>
      </c>
      <c r="Q202" s="3" t="str">
        <f t="shared" si="3"/>
        <v>CL</v>
      </c>
    </row>
    <row r="203" spans="1:17" x14ac:dyDescent="0.25">
      <c r="A203" s="3">
        <v>210</v>
      </c>
      <c r="B203" s="216" t="s">
        <v>42</v>
      </c>
      <c r="C203" s="7">
        <f>INDEX(Data!M:M,MATCH(Q203,Data!AM:AM,0))</f>
        <v>0</v>
      </c>
      <c r="D203" s="7">
        <f>INDEX(Data!O:O,MATCH(Q203,Data!AM:AM,0))</f>
        <v>0</v>
      </c>
      <c r="E203" t="e">
        <f>INDEX(Data!T:T,MATCH($P203,Data!$AL:$AL,0))</f>
        <v>#N/A</v>
      </c>
      <c r="F203" t="e">
        <f>INDEX(Data!P:P,MATCH($P203,Data!$AL:$AL,0))</f>
        <v>#N/A</v>
      </c>
      <c r="G203" t="e">
        <f>INDEX(Data!Z:Z,MATCH($P203,Data!$AL:$AL,0))</f>
        <v>#N/A</v>
      </c>
      <c r="H203" t="e">
        <f>INDEX(Data!AA:AA,MATCH($P203,Data!$AL:$AL,0))</f>
        <v>#N/A</v>
      </c>
      <c r="I203" t="e">
        <f>INDEX(Data!AB:AB,MATCH($P203,Data!$AL:$AL,0))</f>
        <v>#N/A</v>
      </c>
      <c r="J203" t="e">
        <f>INDEX(Data!V:V,MATCH($P203,Data!$AL:$AL,0))</f>
        <v>#N/A</v>
      </c>
      <c r="K203" t="e">
        <f>INDEX(Data!W:W,MATCH($P203,Data!$AL:$AL,0))</f>
        <v>#N/A</v>
      </c>
      <c r="L203" t="e">
        <f>INDEX(Data!X:X,MATCH($P203,Data!$AL:$AL,0))</f>
        <v>#N/A</v>
      </c>
      <c r="M203" t="e">
        <f>INDEX(Data!AD:AD,MATCH($P203,Data!$AL:$AL,0))</f>
        <v>#N/A</v>
      </c>
      <c r="N203" t="e">
        <f>INDEX(Data!AF:AF,MATCH($P203,Data!$AL:$AL,0))</f>
        <v>#N/A</v>
      </c>
      <c r="O203" t="e">
        <f>INDEX(Data!Q:Q,MATCH($P203,Data!$AL:$AL,0))</f>
        <v>#N/A</v>
      </c>
      <c r="Q203" s="3" t="str">
        <f t="shared" si="3"/>
        <v>ACL</v>
      </c>
    </row>
    <row r="204" spans="1:17" x14ac:dyDescent="0.25">
      <c r="A204" s="3">
        <v>211</v>
      </c>
      <c r="B204" s="216" t="s">
        <v>43</v>
      </c>
      <c r="C204" s="7">
        <f>INDEX(Data!M:M,MATCH(Q204,Data!AM:AM,0))</f>
        <v>0</v>
      </c>
      <c r="D204" s="7">
        <f>INDEX(Data!O:O,MATCH(Q204,Data!AM:AM,0))</f>
        <v>0</v>
      </c>
      <c r="E204" t="e">
        <f>INDEX(Data!T:T,MATCH($P204,Data!$AL:$AL,0))</f>
        <v>#N/A</v>
      </c>
      <c r="F204" t="e">
        <f>INDEX(Data!P:P,MATCH($P204,Data!$AL:$AL,0))</f>
        <v>#N/A</v>
      </c>
      <c r="G204" t="e">
        <f>INDEX(Data!Z:Z,MATCH($P204,Data!$AL:$AL,0))</f>
        <v>#N/A</v>
      </c>
      <c r="H204" t="e">
        <f>INDEX(Data!AA:AA,MATCH($P204,Data!$AL:$AL,0))</f>
        <v>#N/A</v>
      </c>
      <c r="I204" t="e">
        <f>INDEX(Data!AB:AB,MATCH($P204,Data!$AL:$AL,0))</f>
        <v>#N/A</v>
      </c>
      <c r="J204" t="e">
        <f>INDEX(Data!V:V,MATCH($P204,Data!$AL:$AL,0))</f>
        <v>#N/A</v>
      </c>
      <c r="K204" t="e">
        <f>INDEX(Data!W:W,MATCH($P204,Data!$AL:$AL,0))</f>
        <v>#N/A</v>
      </c>
      <c r="L204" t="e">
        <f>INDEX(Data!X:X,MATCH($P204,Data!$AL:$AL,0))</f>
        <v>#N/A</v>
      </c>
      <c r="M204" t="e">
        <f>INDEX(Data!AD:AD,MATCH($P204,Data!$AL:$AL,0))</f>
        <v>#N/A</v>
      </c>
      <c r="N204" t="e">
        <f>INDEX(Data!AF:AF,MATCH($P204,Data!$AL:$AL,0))</f>
        <v>#N/A</v>
      </c>
      <c r="O204" t="e">
        <f>INDEX(Data!Q:Q,MATCH($P204,Data!$AL:$AL,0))</f>
        <v>#N/A</v>
      </c>
      <c r="Q204" s="3" t="str">
        <f t="shared" si="3"/>
        <v>SPCL</v>
      </c>
    </row>
    <row r="205" spans="1:17" x14ac:dyDescent="0.25">
      <c r="A205" s="4">
        <v>212</v>
      </c>
      <c r="B205" s="217" t="s">
        <v>44</v>
      </c>
      <c r="C205" s="8">
        <f>INDEX(Data!M:M,MATCH(Q205,Data!AM:AM,0))</f>
        <v>0</v>
      </c>
      <c r="D205" s="8">
        <f>INDEX(Data!O:O,MATCH(Q205,Data!AM:AM,0))</f>
        <v>0</v>
      </c>
      <c r="E205" s="1" t="e">
        <f>INDEX(Data!T:T,MATCH($P205,Data!$AL:$AL,0))</f>
        <v>#N/A</v>
      </c>
      <c r="F205" s="1" t="e">
        <f>INDEX(Data!P:P,MATCH($P205,Data!$AL:$AL,0))</f>
        <v>#N/A</v>
      </c>
      <c r="G205" s="1" t="e">
        <f>INDEX(Data!Z:Z,MATCH($P205,Data!$AL:$AL,0))</f>
        <v>#N/A</v>
      </c>
      <c r="H205" s="1" t="e">
        <f>INDEX(Data!AA:AA,MATCH($P205,Data!$AL:$AL,0))</f>
        <v>#N/A</v>
      </c>
      <c r="I205" s="1" t="e">
        <f>INDEX(Data!AB:AB,MATCH($P205,Data!$AL:$AL,0))</f>
        <v>#N/A</v>
      </c>
      <c r="J205" s="1" t="e">
        <f>INDEX(Data!V:V,MATCH($P205,Data!$AL:$AL,0))</f>
        <v>#N/A</v>
      </c>
      <c r="K205" s="1" t="e">
        <f>INDEX(Data!W:W,MATCH($P205,Data!$AL:$AL,0))</f>
        <v>#N/A</v>
      </c>
      <c r="L205" s="1" t="e">
        <f>INDEX(Data!X:X,MATCH($P205,Data!$AL:$AL,0))</f>
        <v>#N/A</v>
      </c>
      <c r="M205" s="1" t="e">
        <f>INDEX(Data!AD:AD,MATCH($P205,Data!$AL:$AL,0))</f>
        <v>#N/A</v>
      </c>
      <c r="N205" s="1" t="e">
        <f>INDEX(Data!AF:AF,MATCH($P205,Data!$AL:$AL,0))</f>
        <v>#N/A</v>
      </c>
      <c r="O205" s="1" t="e">
        <f>INDEX(Data!Q:Q,MATCH($P205,Data!$AL:$AL,0))</f>
        <v>#N/A</v>
      </c>
      <c r="P205" s="1"/>
      <c r="Q205" s="4" t="str">
        <f t="shared" si="3"/>
        <v>SPACL</v>
      </c>
    </row>
    <row r="206" spans="1:17" x14ac:dyDescent="0.25">
      <c r="A206" s="3">
        <v>213</v>
      </c>
      <c r="B206" s="218" t="s">
        <v>40</v>
      </c>
      <c r="C206" s="6">
        <f>INDEX(Data!M:M,MATCH(Q206,Data!AM:AM,0))</f>
        <v>0</v>
      </c>
      <c r="D206" s="6">
        <f>INDEX(Data!O:O,MATCH(Q206,Data!AM:AM,0))</f>
        <v>0</v>
      </c>
      <c r="E206" s="2" t="e">
        <f>INDEX(Data!T:T,MATCH($P206,Data!$AL:$AL,0))</f>
        <v>#N/A</v>
      </c>
      <c r="F206" s="2" t="e">
        <f>INDEX(Data!P:P,MATCH($P206,Data!$AL:$AL,0))</f>
        <v>#N/A</v>
      </c>
      <c r="G206" s="2" t="e">
        <f>INDEX(Data!Z:Z,MATCH($P206,Data!$AL:$AL,0))</f>
        <v>#N/A</v>
      </c>
      <c r="H206" s="2" t="e">
        <f>INDEX(Data!AA:AA,MATCH($P206,Data!$AL:$AL,0))</f>
        <v>#N/A</v>
      </c>
      <c r="I206" s="2" t="e">
        <f>INDEX(Data!AB:AB,MATCH($P206,Data!$AL:$AL,0))</f>
        <v>#N/A</v>
      </c>
      <c r="J206" s="2" t="e">
        <f>INDEX(Data!V:V,MATCH($P206,Data!$AL:$AL,0))</f>
        <v>#N/A</v>
      </c>
      <c r="K206" s="2" t="e">
        <f>INDEX(Data!W:W,MATCH($P206,Data!$AL:$AL,0))</f>
        <v>#N/A</v>
      </c>
      <c r="L206" s="2" t="e">
        <f>INDEX(Data!X:X,MATCH($P206,Data!$AL:$AL,0))</f>
        <v>#N/A</v>
      </c>
      <c r="M206" s="2" t="e">
        <f>INDEX(Data!AD:AD,MATCH($P206,Data!$AL:$AL,0))</f>
        <v>#N/A</v>
      </c>
      <c r="N206" s="2" t="e">
        <f>INDEX(Data!AF:AF,MATCH($P206,Data!$AL:$AL,0))</f>
        <v>#N/A</v>
      </c>
      <c r="O206" s="2" t="e">
        <f>INDEX(Data!Q:Q,MATCH($P206,Data!$AL:$AL,0))</f>
        <v>#N/A</v>
      </c>
      <c r="Q206" s="3" t="str">
        <f t="shared" si="3"/>
        <v>NCL</v>
      </c>
    </row>
    <row r="207" spans="1:17" x14ac:dyDescent="0.25">
      <c r="A207" s="3">
        <v>214</v>
      </c>
      <c r="B207" s="216" t="s">
        <v>41</v>
      </c>
      <c r="C207" s="7">
        <f>INDEX(Data!M:M,MATCH(Q207,Data!AM:AM,0))</f>
        <v>0</v>
      </c>
      <c r="D207" s="7">
        <f>INDEX(Data!O:O,MATCH(Q207,Data!AM:AM,0))</f>
        <v>0</v>
      </c>
      <c r="E207" t="e">
        <f>INDEX(Data!T:T,MATCH($P207,Data!$AL:$AL,0))</f>
        <v>#N/A</v>
      </c>
      <c r="F207" t="e">
        <f>INDEX(Data!P:P,MATCH($P207,Data!$AL:$AL,0))</f>
        <v>#N/A</v>
      </c>
      <c r="G207" t="e">
        <f>INDEX(Data!Z:Z,MATCH($P207,Data!$AL:$AL,0))</f>
        <v>#N/A</v>
      </c>
      <c r="H207" t="e">
        <f>INDEX(Data!AA:AA,MATCH($P207,Data!$AL:$AL,0))</f>
        <v>#N/A</v>
      </c>
      <c r="I207" t="e">
        <f>INDEX(Data!AB:AB,MATCH($P207,Data!$AL:$AL,0))</f>
        <v>#N/A</v>
      </c>
      <c r="J207" t="e">
        <f>INDEX(Data!V:V,MATCH($P207,Data!$AL:$AL,0))</f>
        <v>#N/A</v>
      </c>
      <c r="K207" t="e">
        <f>INDEX(Data!W:W,MATCH($P207,Data!$AL:$AL,0))</f>
        <v>#N/A</v>
      </c>
      <c r="L207" t="e">
        <f>INDEX(Data!X:X,MATCH($P207,Data!$AL:$AL,0))</f>
        <v>#N/A</v>
      </c>
      <c r="M207" t="e">
        <f>INDEX(Data!AD:AD,MATCH($P207,Data!$AL:$AL,0))</f>
        <v>#N/A</v>
      </c>
      <c r="N207" t="e">
        <f>INDEX(Data!AF:AF,MATCH($P207,Data!$AL:$AL,0))</f>
        <v>#N/A</v>
      </c>
      <c r="O207" t="e">
        <f>INDEX(Data!Q:Q,MATCH($P207,Data!$AL:$AL,0))</f>
        <v>#N/A</v>
      </c>
      <c r="Q207" s="3" t="str">
        <f t="shared" si="3"/>
        <v>CL</v>
      </c>
    </row>
    <row r="208" spans="1:17" x14ac:dyDescent="0.25">
      <c r="A208" s="3">
        <v>215</v>
      </c>
      <c r="B208" s="216" t="s">
        <v>42</v>
      </c>
      <c r="C208" s="7">
        <f>INDEX(Data!M:M,MATCH(Q208,Data!AM:AM,0))</f>
        <v>0</v>
      </c>
      <c r="D208" s="7">
        <f>INDEX(Data!O:O,MATCH(Q208,Data!AM:AM,0))</f>
        <v>0</v>
      </c>
      <c r="E208" t="e">
        <f>INDEX(Data!T:T,MATCH($P208,Data!$AL:$AL,0))</f>
        <v>#N/A</v>
      </c>
      <c r="F208" t="e">
        <f>INDEX(Data!P:P,MATCH($P208,Data!$AL:$AL,0))</f>
        <v>#N/A</v>
      </c>
      <c r="G208" t="e">
        <f>INDEX(Data!Z:Z,MATCH($P208,Data!$AL:$AL,0))</f>
        <v>#N/A</v>
      </c>
      <c r="H208" t="e">
        <f>INDEX(Data!AA:AA,MATCH($P208,Data!$AL:$AL,0))</f>
        <v>#N/A</v>
      </c>
      <c r="I208" t="e">
        <f>INDEX(Data!AB:AB,MATCH($P208,Data!$AL:$AL,0))</f>
        <v>#N/A</v>
      </c>
      <c r="J208" t="e">
        <f>INDEX(Data!V:V,MATCH($P208,Data!$AL:$AL,0))</f>
        <v>#N/A</v>
      </c>
      <c r="K208" t="e">
        <f>INDEX(Data!W:W,MATCH($P208,Data!$AL:$AL,0))</f>
        <v>#N/A</v>
      </c>
      <c r="L208" t="e">
        <f>INDEX(Data!X:X,MATCH($P208,Data!$AL:$AL,0))</f>
        <v>#N/A</v>
      </c>
      <c r="M208" t="e">
        <f>INDEX(Data!AD:AD,MATCH($P208,Data!$AL:$AL,0))</f>
        <v>#N/A</v>
      </c>
      <c r="N208" t="e">
        <f>INDEX(Data!AF:AF,MATCH($P208,Data!$AL:$AL,0))</f>
        <v>#N/A</v>
      </c>
      <c r="O208" t="e">
        <f>INDEX(Data!Q:Q,MATCH($P208,Data!$AL:$AL,0))</f>
        <v>#N/A</v>
      </c>
      <c r="Q208" s="3" t="str">
        <f t="shared" si="3"/>
        <v>ACL</v>
      </c>
    </row>
    <row r="209" spans="1:17" x14ac:dyDescent="0.25">
      <c r="A209" s="3">
        <v>216</v>
      </c>
      <c r="B209" s="216" t="s">
        <v>43</v>
      </c>
      <c r="C209" s="7">
        <f>INDEX(Data!M:M,MATCH(Q209,Data!AM:AM,0))</f>
        <v>0</v>
      </c>
      <c r="D209" s="7">
        <f>INDEX(Data!O:O,MATCH(Q209,Data!AM:AM,0))</f>
        <v>0</v>
      </c>
      <c r="E209" t="e">
        <f>INDEX(Data!T:T,MATCH($P209,Data!$AL:$AL,0))</f>
        <v>#N/A</v>
      </c>
      <c r="F209" t="e">
        <f>INDEX(Data!P:P,MATCH($P209,Data!$AL:$AL,0))</f>
        <v>#N/A</v>
      </c>
      <c r="G209" t="e">
        <f>INDEX(Data!Z:Z,MATCH($P209,Data!$AL:$AL,0))</f>
        <v>#N/A</v>
      </c>
      <c r="H209" t="e">
        <f>INDEX(Data!AA:AA,MATCH($P209,Data!$AL:$AL,0))</f>
        <v>#N/A</v>
      </c>
      <c r="I209" t="e">
        <f>INDEX(Data!AB:AB,MATCH($P209,Data!$AL:$AL,0))</f>
        <v>#N/A</v>
      </c>
      <c r="J209" t="e">
        <f>INDEX(Data!V:V,MATCH($P209,Data!$AL:$AL,0))</f>
        <v>#N/A</v>
      </c>
      <c r="K209" t="e">
        <f>INDEX(Data!W:W,MATCH($P209,Data!$AL:$AL,0))</f>
        <v>#N/A</v>
      </c>
      <c r="L209" t="e">
        <f>INDEX(Data!X:X,MATCH($P209,Data!$AL:$AL,0))</f>
        <v>#N/A</v>
      </c>
      <c r="M209" t="e">
        <f>INDEX(Data!AD:AD,MATCH($P209,Data!$AL:$AL,0))</f>
        <v>#N/A</v>
      </c>
      <c r="N209" t="e">
        <f>INDEX(Data!AF:AF,MATCH($P209,Data!$AL:$AL,0))</f>
        <v>#N/A</v>
      </c>
      <c r="O209" t="e">
        <f>INDEX(Data!Q:Q,MATCH($P209,Data!$AL:$AL,0))</f>
        <v>#N/A</v>
      </c>
      <c r="Q209" s="3" t="str">
        <f t="shared" si="3"/>
        <v>SPCL</v>
      </c>
    </row>
    <row r="210" spans="1:17" x14ac:dyDescent="0.25">
      <c r="A210" s="4">
        <v>217</v>
      </c>
      <c r="B210" s="217" t="s">
        <v>44</v>
      </c>
      <c r="C210" s="8">
        <f>INDEX(Data!M:M,MATCH(Q210,Data!AM:AM,0))</f>
        <v>0</v>
      </c>
      <c r="D210" s="8">
        <f>INDEX(Data!O:O,MATCH(Q210,Data!AM:AM,0))</f>
        <v>0</v>
      </c>
      <c r="E210" s="1" t="e">
        <f>INDEX(Data!T:T,MATCH($P210,Data!$AL:$AL,0))</f>
        <v>#N/A</v>
      </c>
      <c r="F210" s="1" t="e">
        <f>INDEX(Data!P:P,MATCH($P210,Data!$AL:$AL,0))</f>
        <v>#N/A</v>
      </c>
      <c r="G210" s="1" t="e">
        <f>INDEX(Data!Z:Z,MATCH($P210,Data!$AL:$AL,0))</f>
        <v>#N/A</v>
      </c>
      <c r="H210" s="1" t="e">
        <f>INDEX(Data!AA:AA,MATCH($P210,Data!$AL:$AL,0))</f>
        <v>#N/A</v>
      </c>
      <c r="I210" s="1" t="e">
        <f>INDEX(Data!AB:AB,MATCH($P210,Data!$AL:$AL,0))</f>
        <v>#N/A</v>
      </c>
      <c r="J210" s="1" t="e">
        <f>INDEX(Data!V:V,MATCH($P210,Data!$AL:$AL,0))</f>
        <v>#N/A</v>
      </c>
      <c r="K210" s="1" t="e">
        <f>INDEX(Data!W:W,MATCH($P210,Data!$AL:$AL,0))</f>
        <v>#N/A</v>
      </c>
      <c r="L210" s="1" t="e">
        <f>INDEX(Data!X:X,MATCH($P210,Data!$AL:$AL,0))</f>
        <v>#N/A</v>
      </c>
      <c r="M210" s="1" t="e">
        <f>INDEX(Data!AD:AD,MATCH($P210,Data!$AL:$AL,0))</f>
        <v>#N/A</v>
      </c>
      <c r="N210" s="1" t="e">
        <f>INDEX(Data!AF:AF,MATCH($P210,Data!$AL:$AL,0))</f>
        <v>#N/A</v>
      </c>
      <c r="O210" s="1" t="e">
        <f>INDEX(Data!Q:Q,MATCH($P210,Data!$AL:$AL,0))</f>
        <v>#N/A</v>
      </c>
      <c r="P210" s="1"/>
      <c r="Q210" s="4" t="str">
        <f t="shared" si="3"/>
        <v>SPACL</v>
      </c>
    </row>
    <row r="211" spans="1:17" x14ac:dyDescent="0.25">
      <c r="A211" s="3">
        <v>218</v>
      </c>
      <c r="B211" s="218" t="s">
        <v>40</v>
      </c>
      <c r="C211" s="6">
        <f>INDEX(Data!M:M,MATCH(Q211,Data!AM:AM,0))</f>
        <v>0</v>
      </c>
      <c r="D211" s="6">
        <f>INDEX(Data!O:O,MATCH(Q211,Data!AM:AM,0))</f>
        <v>0</v>
      </c>
      <c r="E211" s="2" t="e">
        <f>INDEX(Data!T:T,MATCH($P211,Data!$AL:$AL,0))</f>
        <v>#N/A</v>
      </c>
      <c r="F211" s="2" t="e">
        <f>INDEX(Data!P:P,MATCH($P211,Data!$AL:$AL,0))</f>
        <v>#N/A</v>
      </c>
      <c r="G211" s="2" t="e">
        <f>INDEX(Data!Z:Z,MATCH($P211,Data!$AL:$AL,0))</f>
        <v>#N/A</v>
      </c>
      <c r="H211" s="2" t="e">
        <f>INDEX(Data!AA:AA,MATCH($P211,Data!$AL:$AL,0))</f>
        <v>#N/A</v>
      </c>
      <c r="I211" s="2" t="e">
        <f>INDEX(Data!AB:AB,MATCH($P211,Data!$AL:$AL,0))</f>
        <v>#N/A</v>
      </c>
      <c r="J211" s="2" t="e">
        <f>INDEX(Data!V:V,MATCH($P211,Data!$AL:$AL,0))</f>
        <v>#N/A</v>
      </c>
      <c r="K211" s="2" t="e">
        <f>INDEX(Data!W:W,MATCH($P211,Data!$AL:$AL,0))</f>
        <v>#N/A</v>
      </c>
      <c r="L211" s="2" t="e">
        <f>INDEX(Data!X:X,MATCH($P211,Data!$AL:$AL,0))</f>
        <v>#N/A</v>
      </c>
      <c r="M211" s="2" t="e">
        <f>INDEX(Data!AD:AD,MATCH($P211,Data!$AL:$AL,0))</f>
        <v>#N/A</v>
      </c>
      <c r="N211" s="2" t="e">
        <f>INDEX(Data!AF:AF,MATCH($P211,Data!$AL:$AL,0))</f>
        <v>#N/A</v>
      </c>
      <c r="O211" s="2" t="e">
        <f>INDEX(Data!Q:Q,MATCH($P211,Data!$AL:$AL,0))</f>
        <v>#N/A</v>
      </c>
      <c r="Q211" s="3" t="str">
        <f t="shared" si="3"/>
        <v>NCL</v>
      </c>
    </row>
    <row r="212" spans="1:17" x14ac:dyDescent="0.25">
      <c r="A212" s="3">
        <v>219</v>
      </c>
      <c r="B212" s="216" t="s">
        <v>41</v>
      </c>
      <c r="C212" s="7">
        <f>INDEX(Data!M:M,MATCH(Q212,Data!AM:AM,0))</f>
        <v>0</v>
      </c>
      <c r="D212" s="7">
        <f>INDEX(Data!O:O,MATCH(Q212,Data!AM:AM,0))</f>
        <v>0</v>
      </c>
      <c r="E212" t="e">
        <f>INDEX(Data!T:T,MATCH($P212,Data!$AL:$AL,0))</f>
        <v>#N/A</v>
      </c>
      <c r="F212" t="e">
        <f>INDEX(Data!P:P,MATCH($P212,Data!$AL:$AL,0))</f>
        <v>#N/A</v>
      </c>
      <c r="G212" t="e">
        <f>INDEX(Data!Z:Z,MATCH($P212,Data!$AL:$AL,0))</f>
        <v>#N/A</v>
      </c>
      <c r="H212" t="e">
        <f>INDEX(Data!AA:AA,MATCH($P212,Data!$AL:$AL,0))</f>
        <v>#N/A</v>
      </c>
      <c r="I212" t="e">
        <f>INDEX(Data!AB:AB,MATCH($P212,Data!$AL:$AL,0))</f>
        <v>#N/A</v>
      </c>
      <c r="J212" t="e">
        <f>INDEX(Data!V:V,MATCH($P212,Data!$AL:$AL,0))</f>
        <v>#N/A</v>
      </c>
      <c r="K212" t="e">
        <f>INDEX(Data!W:W,MATCH($P212,Data!$AL:$AL,0))</f>
        <v>#N/A</v>
      </c>
      <c r="L212" t="e">
        <f>INDEX(Data!X:X,MATCH($P212,Data!$AL:$AL,0))</f>
        <v>#N/A</v>
      </c>
      <c r="M212" t="e">
        <f>INDEX(Data!AD:AD,MATCH($P212,Data!$AL:$AL,0))</f>
        <v>#N/A</v>
      </c>
      <c r="N212" t="e">
        <f>INDEX(Data!AF:AF,MATCH($P212,Data!$AL:$AL,0))</f>
        <v>#N/A</v>
      </c>
      <c r="O212" t="e">
        <f>INDEX(Data!Q:Q,MATCH($P212,Data!$AL:$AL,0))</f>
        <v>#N/A</v>
      </c>
      <c r="Q212" s="3" t="str">
        <f t="shared" si="3"/>
        <v>CL</v>
      </c>
    </row>
    <row r="213" spans="1:17" x14ac:dyDescent="0.25">
      <c r="A213" s="3">
        <v>220</v>
      </c>
      <c r="B213" s="216" t="s">
        <v>42</v>
      </c>
      <c r="C213" s="7">
        <f>INDEX(Data!M:M,MATCH(Q213,Data!AM:AM,0))</f>
        <v>0</v>
      </c>
      <c r="D213" s="7">
        <f>INDEX(Data!O:O,MATCH(Q213,Data!AM:AM,0))</f>
        <v>0</v>
      </c>
      <c r="E213" t="e">
        <f>INDEX(Data!T:T,MATCH($P213,Data!$AL:$AL,0))</f>
        <v>#N/A</v>
      </c>
      <c r="F213" t="e">
        <f>INDEX(Data!P:P,MATCH($P213,Data!$AL:$AL,0))</f>
        <v>#N/A</v>
      </c>
      <c r="G213" t="e">
        <f>INDEX(Data!Z:Z,MATCH($P213,Data!$AL:$AL,0))</f>
        <v>#N/A</v>
      </c>
      <c r="H213" t="e">
        <f>INDEX(Data!AA:AA,MATCH($P213,Data!$AL:$AL,0))</f>
        <v>#N/A</v>
      </c>
      <c r="I213" t="e">
        <f>INDEX(Data!AB:AB,MATCH($P213,Data!$AL:$AL,0))</f>
        <v>#N/A</v>
      </c>
      <c r="J213" t="e">
        <f>INDEX(Data!V:V,MATCH($P213,Data!$AL:$AL,0))</f>
        <v>#N/A</v>
      </c>
      <c r="K213" t="e">
        <f>INDEX(Data!W:W,MATCH($P213,Data!$AL:$AL,0))</f>
        <v>#N/A</v>
      </c>
      <c r="L213" t="e">
        <f>INDEX(Data!X:X,MATCH($P213,Data!$AL:$AL,0))</f>
        <v>#N/A</v>
      </c>
      <c r="M213" t="e">
        <f>INDEX(Data!AD:AD,MATCH($P213,Data!$AL:$AL,0))</f>
        <v>#N/A</v>
      </c>
      <c r="N213" t="e">
        <f>INDEX(Data!AF:AF,MATCH($P213,Data!$AL:$AL,0))</f>
        <v>#N/A</v>
      </c>
      <c r="O213" t="e">
        <f>INDEX(Data!Q:Q,MATCH($P213,Data!$AL:$AL,0))</f>
        <v>#N/A</v>
      </c>
      <c r="Q213" s="3" t="str">
        <f t="shared" si="3"/>
        <v>ACL</v>
      </c>
    </row>
    <row r="214" spans="1:17" x14ac:dyDescent="0.25">
      <c r="A214" s="3">
        <v>221</v>
      </c>
      <c r="B214" s="216" t="s">
        <v>43</v>
      </c>
      <c r="C214" s="7">
        <f>INDEX(Data!M:M,MATCH(Q214,Data!AM:AM,0))</f>
        <v>0</v>
      </c>
      <c r="D214" s="7">
        <f>INDEX(Data!O:O,MATCH(Q214,Data!AM:AM,0))</f>
        <v>0</v>
      </c>
      <c r="E214" t="e">
        <f>INDEX(Data!T:T,MATCH($P214,Data!$AL:$AL,0))</f>
        <v>#N/A</v>
      </c>
      <c r="F214" t="e">
        <f>INDEX(Data!P:P,MATCH($P214,Data!$AL:$AL,0))</f>
        <v>#N/A</v>
      </c>
      <c r="G214" t="e">
        <f>INDEX(Data!Z:Z,MATCH($P214,Data!$AL:$AL,0))</f>
        <v>#N/A</v>
      </c>
      <c r="H214" t="e">
        <f>INDEX(Data!AA:AA,MATCH($P214,Data!$AL:$AL,0))</f>
        <v>#N/A</v>
      </c>
      <c r="I214" t="e">
        <f>INDEX(Data!AB:AB,MATCH($P214,Data!$AL:$AL,0))</f>
        <v>#N/A</v>
      </c>
      <c r="J214" t="e">
        <f>INDEX(Data!V:V,MATCH($P214,Data!$AL:$AL,0))</f>
        <v>#N/A</v>
      </c>
      <c r="K214" t="e">
        <f>INDEX(Data!W:W,MATCH($P214,Data!$AL:$AL,0))</f>
        <v>#N/A</v>
      </c>
      <c r="L214" t="e">
        <f>INDEX(Data!X:X,MATCH($P214,Data!$AL:$AL,0))</f>
        <v>#N/A</v>
      </c>
      <c r="M214" t="e">
        <f>INDEX(Data!AD:AD,MATCH($P214,Data!$AL:$AL,0))</f>
        <v>#N/A</v>
      </c>
      <c r="N214" t="e">
        <f>INDEX(Data!AF:AF,MATCH($P214,Data!$AL:$AL,0))</f>
        <v>#N/A</v>
      </c>
      <c r="O214" t="e">
        <f>INDEX(Data!Q:Q,MATCH($P214,Data!$AL:$AL,0))</f>
        <v>#N/A</v>
      </c>
      <c r="Q214" s="3" t="str">
        <f t="shared" si="3"/>
        <v>SPCL</v>
      </c>
    </row>
    <row r="215" spans="1:17" x14ac:dyDescent="0.25">
      <c r="A215" s="4">
        <v>222</v>
      </c>
      <c r="B215" s="217" t="s">
        <v>44</v>
      </c>
      <c r="C215" s="8">
        <f>INDEX(Data!M:M,MATCH(Q215,Data!AM:AM,0))</f>
        <v>0</v>
      </c>
      <c r="D215" s="8">
        <f>INDEX(Data!O:O,MATCH(Q215,Data!AM:AM,0))</f>
        <v>0</v>
      </c>
      <c r="E215" s="1" t="e">
        <f>INDEX(Data!T:T,MATCH($P215,Data!$AL:$AL,0))</f>
        <v>#N/A</v>
      </c>
      <c r="F215" s="1" t="e">
        <f>INDEX(Data!P:P,MATCH($P215,Data!$AL:$AL,0))</f>
        <v>#N/A</v>
      </c>
      <c r="G215" s="1" t="e">
        <f>INDEX(Data!Z:Z,MATCH($P215,Data!$AL:$AL,0))</f>
        <v>#N/A</v>
      </c>
      <c r="H215" s="1" t="e">
        <f>INDEX(Data!AA:AA,MATCH($P215,Data!$AL:$AL,0))</f>
        <v>#N/A</v>
      </c>
      <c r="I215" s="1" t="e">
        <f>INDEX(Data!AB:AB,MATCH($P215,Data!$AL:$AL,0))</f>
        <v>#N/A</v>
      </c>
      <c r="J215" s="1" t="e">
        <f>INDEX(Data!V:V,MATCH($P215,Data!$AL:$AL,0))</f>
        <v>#N/A</v>
      </c>
      <c r="K215" s="1" t="e">
        <f>INDEX(Data!W:W,MATCH($P215,Data!$AL:$AL,0))</f>
        <v>#N/A</v>
      </c>
      <c r="L215" s="1" t="e">
        <f>INDEX(Data!X:X,MATCH($P215,Data!$AL:$AL,0))</f>
        <v>#N/A</v>
      </c>
      <c r="M215" s="1" t="e">
        <f>INDEX(Data!AD:AD,MATCH($P215,Data!$AL:$AL,0))</f>
        <v>#N/A</v>
      </c>
      <c r="N215" s="1" t="e">
        <f>INDEX(Data!AF:AF,MATCH($P215,Data!$AL:$AL,0))</f>
        <v>#N/A</v>
      </c>
      <c r="O215" s="1" t="e">
        <f>INDEX(Data!Q:Q,MATCH($P215,Data!$AL:$AL,0))</f>
        <v>#N/A</v>
      </c>
      <c r="P215" s="1"/>
      <c r="Q215" s="4" t="str">
        <f t="shared" si="3"/>
        <v>SPACL</v>
      </c>
    </row>
    <row r="216" spans="1:17" x14ac:dyDescent="0.25">
      <c r="A216" s="3">
        <v>223</v>
      </c>
      <c r="B216" s="218" t="s">
        <v>40</v>
      </c>
      <c r="C216" s="6">
        <f>INDEX(Data!M:M,MATCH(Q216,Data!AM:AM,0))</f>
        <v>0</v>
      </c>
      <c r="D216" s="6">
        <f>INDEX(Data!O:O,MATCH(Q216,Data!AM:AM,0))</f>
        <v>0</v>
      </c>
      <c r="E216" s="2" t="e">
        <f>INDEX(Data!T:T,MATCH($P216,Data!$AL:$AL,0))</f>
        <v>#N/A</v>
      </c>
      <c r="F216" s="2" t="e">
        <f>INDEX(Data!P:P,MATCH($P216,Data!$AL:$AL,0))</f>
        <v>#N/A</v>
      </c>
      <c r="G216" s="2" t="e">
        <f>INDEX(Data!Z:Z,MATCH($P216,Data!$AL:$AL,0))</f>
        <v>#N/A</v>
      </c>
      <c r="H216" s="2" t="e">
        <f>INDEX(Data!AA:AA,MATCH($P216,Data!$AL:$AL,0))</f>
        <v>#N/A</v>
      </c>
      <c r="I216" s="2" t="e">
        <f>INDEX(Data!AB:AB,MATCH($P216,Data!$AL:$AL,0))</f>
        <v>#N/A</v>
      </c>
      <c r="J216" s="2" t="e">
        <f>INDEX(Data!V:V,MATCH($P216,Data!$AL:$AL,0))</f>
        <v>#N/A</v>
      </c>
      <c r="K216" s="2" t="e">
        <f>INDEX(Data!W:W,MATCH($P216,Data!$AL:$AL,0))</f>
        <v>#N/A</v>
      </c>
      <c r="L216" s="2" t="e">
        <f>INDEX(Data!X:X,MATCH($P216,Data!$AL:$AL,0))</f>
        <v>#N/A</v>
      </c>
      <c r="M216" s="2" t="e">
        <f>INDEX(Data!AD:AD,MATCH($P216,Data!$AL:$AL,0))</f>
        <v>#N/A</v>
      </c>
      <c r="N216" s="2" t="e">
        <f>INDEX(Data!AF:AF,MATCH($P216,Data!$AL:$AL,0))</f>
        <v>#N/A</v>
      </c>
      <c r="O216" s="2" t="e">
        <f>INDEX(Data!Q:Q,MATCH($P216,Data!$AL:$AL,0))</f>
        <v>#N/A</v>
      </c>
      <c r="Q216" s="3" t="str">
        <f t="shared" si="3"/>
        <v>NCL</v>
      </c>
    </row>
    <row r="217" spans="1:17" x14ac:dyDescent="0.25">
      <c r="A217" s="3">
        <v>224</v>
      </c>
      <c r="B217" s="216" t="s">
        <v>41</v>
      </c>
      <c r="C217" s="7">
        <f>INDEX(Data!M:M,MATCH(Q217,Data!AM:AM,0))</f>
        <v>0</v>
      </c>
      <c r="D217" s="7">
        <f>INDEX(Data!O:O,MATCH(Q217,Data!AM:AM,0))</f>
        <v>0</v>
      </c>
      <c r="E217" t="e">
        <f>INDEX(Data!T:T,MATCH($P217,Data!$AL:$AL,0))</f>
        <v>#N/A</v>
      </c>
      <c r="F217" t="e">
        <f>INDEX(Data!P:P,MATCH($P217,Data!$AL:$AL,0))</f>
        <v>#N/A</v>
      </c>
      <c r="G217" t="e">
        <f>INDEX(Data!Z:Z,MATCH($P217,Data!$AL:$AL,0))</f>
        <v>#N/A</v>
      </c>
      <c r="H217" t="e">
        <f>INDEX(Data!AA:AA,MATCH($P217,Data!$AL:$AL,0))</f>
        <v>#N/A</v>
      </c>
      <c r="I217" t="e">
        <f>INDEX(Data!AB:AB,MATCH($P217,Data!$AL:$AL,0))</f>
        <v>#N/A</v>
      </c>
      <c r="J217" t="e">
        <f>INDEX(Data!V:V,MATCH($P217,Data!$AL:$AL,0))</f>
        <v>#N/A</v>
      </c>
      <c r="K217" t="e">
        <f>INDEX(Data!W:W,MATCH($P217,Data!$AL:$AL,0))</f>
        <v>#N/A</v>
      </c>
      <c r="L217" t="e">
        <f>INDEX(Data!X:X,MATCH($P217,Data!$AL:$AL,0))</f>
        <v>#N/A</v>
      </c>
      <c r="M217" t="e">
        <f>INDEX(Data!AD:AD,MATCH($P217,Data!$AL:$AL,0))</f>
        <v>#N/A</v>
      </c>
      <c r="N217" t="e">
        <f>INDEX(Data!AF:AF,MATCH($P217,Data!$AL:$AL,0))</f>
        <v>#N/A</v>
      </c>
      <c r="O217" t="e">
        <f>INDEX(Data!Q:Q,MATCH($P217,Data!$AL:$AL,0))</f>
        <v>#N/A</v>
      </c>
      <c r="Q217" s="3" t="str">
        <f t="shared" si="3"/>
        <v>CL</v>
      </c>
    </row>
    <row r="218" spans="1:17" x14ac:dyDescent="0.25">
      <c r="A218" s="3">
        <v>225</v>
      </c>
      <c r="B218" s="216" t="s">
        <v>42</v>
      </c>
      <c r="C218" s="7">
        <f>INDEX(Data!M:M,MATCH(Q218,Data!AM:AM,0))</f>
        <v>0</v>
      </c>
      <c r="D218" s="7">
        <f>INDEX(Data!O:O,MATCH(Q218,Data!AM:AM,0))</f>
        <v>0</v>
      </c>
      <c r="E218" t="e">
        <f>INDEX(Data!T:T,MATCH($P218,Data!$AL:$AL,0))</f>
        <v>#N/A</v>
      </c>
      <c r="F218" t="e">
        <f>INDEX(Data!P:P,MATCH($P218,Data!$AL:$AL,0))</f>
        <v>#N/A</v>
      </c>
      <c r="G218" t="e">
        <f>INDEX(Data!Z:Z,MATCH($P218,Data!$AL:$AL,0))</f>
        <v>#N/A</v>
      </c>
      <c r="H218" t="e">
        <f>INDEX(Data!AA:AA,MATCH($P218,Data!$AL:$AL,0))</f>
        <v>#N/A</v>
      </c>
      <c r="I218" t="e">
        <f>INDEX(Data!AB:AB,MATCH($P218,Data!$AL:$AL,0))</f>
        <v>#N/A</v>
      </c>
      <c r="J218" t="e">
        <f>INDEX(Data!V:V,MATCH($P218,Data!$AL:$AL,0))</f>
        <v>#N/A</v>
      </c>
      <c r="K218" t="e">
        <f>INDEX(Data!W:W,MATCH($P218,Data!$AL:$AL,0))</f>
        <v>#N/A</v>
      </c>
      <c r="L218" t="e">
        <f>INDEX(Data!X:X,MATCH($P218,Data!$AL:$AL,0))</f>
        <v>#N/A</v>
      </c>
      <c r="M218" t="e">
        <f>INDEX(Data!AD:AD,MATCH($P218,Data!$AL:$AL,0))</f>
        <v>#N/A</v>
      </c>
      <c r="N218" t="e">
        <f>INDEX(Data!AF:AF,MATCH($P218,Data!$AL:$AL,0))</f>
        <v>#N/A</v>
      </c>
      <c r="O218" t="e">
        <f>INDEX(Data!Q:Q,MATCH($P218,Data!$AL:$AL,0))</f>
        <v>#N/A</v>
      </c>
      <c r="Q218" s="3" t="str">
        <f t="shared" si="3"/>
        <v>ACL</v>
      </c>
    </row>
    <row r="219" spans="1:17" x14ac:dyDescent="0.25">
      <c r="A219" s="3">
        <v>226</v>
      </c>
      <c r="B219" s="216" t="s">
        <v>43</v>
      </c>
      <c r="C219" s="7">
        <f>INDEX(Data!M:M,MATCH(Q219,Data!AM:AM,0))</f>
        <v>0</v>
      </c>
      <c r="D219" s="7">
        <f>INDEX(Data!O:O,MATCH(Q219,Data!AM:AM,0))</f>
        <v>0</v>
      </c>
      <c r="E219" t="e">
        <f>INDEX(Data!T:T,MATCH($P219,Data!$AL:$AL,0))</f>
        <v>#N/A</v>
      </c>
      <c r="F219" t="e">
        <f>INDEX(Data!P:P,MATCH($P219,Data!$AL:$AL,0))</f>
        <v>#N/A</v>
      </c>
      <c r="G219" t="e">
        <f>INDEX(Data!Z:Z,MATCH($P219,Data!$AL:$AL,0))</f>
        <v>#N/A</v>
      </c>
      <c r="H219" t="e">
        <f>INDEX(Data!AA:AA,MATCH($P219,Data!$AL:$AL,0))</f>
        <v>#N/A</v>
      </c>
      <c r="I219" t="e">
        <f>INDEX(Data!AB:AB,MATCH($P219,Data!$AL:$AL,0))</f>
        <v>#N/A</v>
      </c>
      <c r="J219" t="e">
        <f>INDEX(Data!V:V,MATCH($P219,Data!$AL:$AL,0))</f>
        <v>#N/A</v>
      </c>
      <c r="K219" t="e">
        <f>INDEX(Data!W:W,MATCH($P219,Data!$AL:$AL,0))</f>
        <v>#N/A</v>
      </c>
      <c r="L219" t="e">
        <f>INDEX(Data!X:X,MATCH($P219,Data!$AL:$AL,0))</f>
        <v>#N/A</v>
      </c>
      <c r="M219" t="e">
        <f>INDEX(Data!AD:AD,MATCH($P219,Data!$AL:$AL,0))</f>
        <v>#N/A</v>
      </c>
      <c r="N219" t="e">
        <f>INDEX(Data!AF:AF,MATCH($P219,Data!$AL:$AL,0))</f>
        <v>#N/A</v>
      </c>
      <c r="O219" t="e">
        <f>INDEX(Data!Q:Q,MATCH($P219,Data!$AL:$AL,0))</f>
        <v>#N/A</v>
      </c>
      <c r="Q219" s="3" t="str">
        <f t="shared" si="3"/>
        <v>SPCL</v>
      </c>
    </row>
    <row r="220" spans="1:17" x14ac:dyDescent="0.25">
      <c r="A220" s="4">
        <v>227</v>
      </c>
      <c r="B220" s="217" t="s">
        <v>44</v>
      </c>
      <c r="C220" s="8">
        <f>INDEX(Data!M:M,MATCH(Q220,Data!AM:AM,0))</f>
        <v>0</v>
      </c>
      <c r="D220" s="8">
        <f>INDEX(Data!O:O,MATCH(Q220,Data!AM:AM,0))</f>
        <v>0</v>
      </c>
      <c r="E220" s="1" t="e">
        <f>INDEX(Data!T:T,MATCH($P220,Data!$AL:$AL,0))</f>
        <v>#N/A</v>
      </c>
      <c r="F220" s="1" t="e">
        <f>INDEX(Data!P:P,MATCH($P220,Data!$AL:$AL,0))</f>
        <v>#N/A</v>
      </c>
      <c r="G220" s="1" t="e">
        <f>INDEX(Data!Z:Z,MATCH($P220,Data!$AL:$AL,0))</f>
        <v>#N/A</v>
      </c>
      <c r="H220" s="1" t="e">
        <f>INDEX(Data!AA:AA,MATCH($P220,Data!$AL:$AL,0))</f>
        <v>#N/A</v>
      </c>
      <c r="I220" s="1" t="e">
        <f>INDEX(Data!AB:AB,MATCH($P220,Data!$AL:$AL,0))</f>
        <v>#N/A</v>
      </c>
      <c r="J220" s="1" t="e">
        <f>INDEX(Data!V:V,MATCH($P220,Data!$AL:$AL,0))</f>
        <v>#N/A</v>
      </c>
      <c r="K220" s="1" t="e">
        <f>INDEX(Data!W:W,MATCH($P220,Data!$AL:$AL,0))</f>
        <v>#N/A</v>
      </c>
      <c r="L220" s="1" t="e">
        <f>INDEX(Data!X:X,MATCH($P220,Data!$AL:$AL,0))</f>
        <v>#N/A</v>
      </c>
      <c r="M220" s="1" t="e">
        <f>INDEX(Data!AD:AD,MATCH($P220,Data!$AL:$AL,0))</f>
        <v>#N/A</v>
      </c>
      <c r="N220" s="1" t="e">
        <f>INDEX(Data!AF:AF,MATCH($P220,Data!$AL:$AL,0))</f>
        <v>#N/A</v>
      </c>
      <c r="O220" s="1" t="e">
        <f>INDEX(Data!Q:Q,MATCH($P220,Data!$AL:$AL,0))</f>
        <v>#N/A</v>
      </c>
      <c r="P220" s="1"/>
      <c r="Q220" s="4" t="str">
        <f t="shared" si="3"/>
        <v>SPACL</v>
      </c>
    </row>
    <row r="221" spans="1:17" x14ac:dyDescent="0.25">
      <c r="A221" s="3">
        <v>228</v>
      </c>
      <c r="B221" s="218" t="s">
        <v>40</v>
      </c>
      <c r="C221" s="6">
        <f>INDEX(Data!M:M,MATCH(Q221,Data!AM:AM,0))</f>
        <v>0</v>
      </c>
      <c r="D221" s="6">
        <f>INDEX(Data!O:O,MATCH(Q221,Data!AM:AM,0))</f>
        <v>0</v>
      </c>
      <c r="E221" s="2" t="e">
        <f>INDEX(Data!T:T,MATCH($P221,Data!$AL:$AL,0))</f>
        <v>#N/A</v>
      </c>
      <c r="F221" s="2" t="e">
        <f>INDEX(Data!P:P,MATCH($P221,Data!$AL:$AL,0))</f>
        <v>#N/A</v>
      </c>
      <c r="G221" s="2" t="e">
        <f>INDEX(Data!Z:Z,MATCH($P221,Data!$AL:$AL,0))</f>
        <v>#N/A</v>
      </c>
      <c r="H221" s="2" t="e">
        <f>INDEX(Data!AA:AA,MATCH($P221,Data!$AL:$AL,0))</f>
        <v>#N/A</v>
      </c>
      <c r="I221" s="2" t="e">
        <f>INDEX(Data!AB:AB,MATCH($P221,Data!$AL:$AL,0))</f>
        <v>#N/A</v>
      </c>
      <c r="J221" s="2" t="e">
        <f>INDEX(Data!V:V,MATCH($P221,Data!$AL:$AL,0))</f>
        <v>#N/A</v>
      </c>
      <c r="K221" s="2" t="e">
        <f>INDEX(Data!W:W,MATCH($P221,Data!$AL:$AL,0))</f>
        <v>#N/A</v>
      </c>
      <c r="L221" s="2" t="e">
        <f>INDEX(Data!X:X,MATCH($P221,Data!$AL:$AL,0))</f>
        <v>#N/A</v>
      </c>
      <c r="M221" s="2" t="e">
        <f>INDEX(Data!AD:AD,MATCH($P221,Data!$AL:$AL,0))</f>
        <v>#N/A</v>
      </c>
      <c r="N221" s="2" t="e">
        <f>INDEX(Data!AF:AF,MATCH($P221,Data!$AL:$AL,0))</f>
        <v>#N/A</v>
      </c>
      <c r="O221" s="2" t="e">
        <f>INDEX(Data!Q:Q,MATCH($P221,Data!$AL:$AL,0))</f>
        <v>#N/A</v>
      </c>
      <c r="Q221" s="3" t="str">
        <f t="shared" si="3"/>
        <v>NCL</v>
      </c>
    </row>
    <row r="222" spans="1:17" x14ac:dyDescent="0.25">
      <c r="A222" s="3">
        <v>229</v>
      </c>
      <c r="B222" s="216" t="s">
        <v>41</v>
      </c>
      <c r="C222" s="7">
        <f>INDEX(Data!M:M,MATCH(Q222,Data!AM:AM,0))</f>
        <v>0</v>
      </c>
      <c r="D222" s="7">
        <f>INDEX(Data!O:O,MATCH(Q222,Data!AM:AM,0))</f>
        <v>0</v>
      </c>
      <c r="E222" t="e">
        <f>INDEX(Data!T:T,MATCH($P222,Data!$AL:$AL,0))</f>
        <v>#N/A</v>
      </c>
      <c r="F222" t="e">
        <f>INDEX(Data!P:P,MATCH($P222,Data!$AL:$AL,0))</f>
        <v>#N/A</v>
      </c>
      <c r="G222" t="e">
        <f>INDEX(Data!Z:Z,MATCH($P222,Data!$AL:$AL,0))</f>
        <v>#N/A</v>
      </c>
      <c r="H222" t="e">
        <f>INDEX(Data!AA:AA,MATCH($P222,Data!$AL:$AL,0))</f>
        <v>#N/A</v>
      </c>
      <c r="I222" t="e">
        <f>INDEX(Data!AB:AB,MATCH($P222,Data!$AL:$AL,0))</f>
        <v>#N/A</v>
      </c>
      <c r="J222" t="e">
        <f>INDEX(Data!V:V,MATCH($P222,Data!$AL:$AL,0))</f>
        <v>#N/A</v>
      </c>
      <c r="K222" t="e">
        <f>INDEX(Data!W:W,MATCH($P222,Data!$AL:$AL,0))</f>
        <v>#N/A</v>
      </c>
      <c r="L222" t="e">
        <f>INDEX(Data!X:X,MATCH($P222,Data!$AL:$AL,0))</f>
        <v>#N/A</v>
      </c>
      <c r="M222" t="e">
        <f>INDEX(Data!AD:AD,MATCH($P222,Data!$AL:$AL,0))</f>
        <v>#N/A</v>
      </c>
      <c r="N222" t="e">
        <f>INDEX(Data!AF:AF,MATCH($P222,Data!$AL:$AL,0))</f>
        <v>#N/A</v>
      </c>
      <c r="O222" t="e">
        <f>INDEX(Data!Q:Q,MATCH($P222,Data!$AL:$AL,0))</f>
        <v>#N/A</v>
      </c>
      <c r="Q222" s="3" t="str">
        <f t="shared" si="3"/>
        <v>CL</v>
      </c>
    </row>
    <row r="223" spans="1:17" x14ac:dyDescent="0.25">
      <c r="A223" s="3">
        <v>230</v>
      </c>
      <c r="B223" s="216" t="s">
        <v>42</v>
      </c>
      <c r="C223" s="7">
        <f>INDEX(Data!M:M,MATCH(Q223,Data!AM:AM,0))</f>
        <v>0</v>
      </c>
      <c r="D223" s="7">
        <f>INDEX(Data!O:O,MATCH(Q223,Data!AM:AM,0))</f>
        <v>0</v>
      </c>
      <c r="E223" t="e">
        <f>INDEX(Data!T:T,MATCH($P223,Data!$AL:$AL,0))</f>
        <v>#N/A</v>
      </c>
      <c r="F223" t="e">
        <f>INDEX(Data!P:P,MATCH($P223,Data!$AL:$AL,0))</f>
        <v>#N/A</v>
      </c>
      <c r="G223" t="e">
        <f>INDEX(Data!Z:Z,MATCH($P223,Data!$AL:$AL,0))</f>
        <v>#N/A</v>
      </c>
      <c r="H223" t="e">
        <f>INDEX(Data!AA:AA,MATCH($P223,Data!$AL:$AL,0))</f>
        <v>#N/A</v>
      </c>
      <c r="I223" t="e">
        <f>INDEX(Data!AB:AB,MATCH($P223,Data!$AL:$AL,0))</f>
        <v>#N/A</v>
      </c>
      <c r="J223" t="e">
        <f>INDEX(Data!V:V,MATCH($P223,Data!$AL:$AL,0))</f>
        <v>#N/A</v>
      </c>
      <c r="K223" t="e">
        <f>INDEX(Data!W:W,MATCH($P223,Data!$AL:$AL,0))</f>
        <v>#N/A</v>
      </c>
      <c r="L223" t="e">
        <f>INDEX(Data!X:X,MATCH($P223,Data!$AL:$AL,0))</f>
        <v>#N/A</v>
      </c>
      <c r="M223" t="e">
        <f>INDEX(Data!AD:AD,MATCH($P223,Data!$AL:$AL,0))</f>
        <v>#N/A</v>
      </c>
      <c r="N223" t="e">
        <f>INDEX(Data!AF:AF,MATCH($P223,Data!$AL:$AL,0))</f>
        <v>#N/A</v>
      </c>
      <c r="O223" t="e">
        <f>INDEX(Data!Q:Q,MATCH($P223,Data!$AL:$AL,0))</f>
        <v>#N/A</v>
      </c>
      <c r="Q223" s="3" t="str">
        <f t="shared" si="3"/>
        <v>ACL</v>
      </c>
    </row>
    <row r="224" spans="1:17" x14ac:dyDescent="0.25">
      <c r="A224" s="3">
        <v>231</v>
      </c>
      <c r="B224" s="216" t="s">
        <v>43</v>
      </c>
      <c r="C224" s="7">
        <f>INDEX(Data!M:M,MATCH(Q224,Data!AM:AM,0))</f>
        <v>0</v>
      </c>
      <c r="D224" s="7">
        <f>INDEX(Data!O:O,MATCH(Q224,Data!AM:AM,0))</f>
        <v>0</v>
      </c>
      <c r="E224" t="e">
        <f>INDEX(Data!T:T,MATCH($P224,Data!$AL:$AL,0))</f>
        <v>#N/A</v>
      </c>
      <c r="F224" t="e">
        <f>INDEX(Data!P:P,MATCH($P224,Data!$AL:$AL,0))</f>
        <v>#N/A</v>
      </c>
      <c r="G224" t="e">
        <f>INDEX(Data!Z:Z,MATCH($P224,Data!$AL:$AL,0))</f>
        <v>#N/A</v>
      </c>
      <c r="H224" t="e">
        <f>INDEX(Data!AA:AA,MATCH($P224,Data!$AL:$AL,0))</f>
        <v>#N/A</v>
      </c>
      <c r="I224" t="e">
        <f>INDEX(Data!AB:AB,MATCH($P224,Data!$AL:$AL,0))</f>
        <v>#N/A</v>
      </c>
      <c r="J224" t="e">
        <f>INDEX(Data!V:V,MATCH($P224,Data!$AL:$AL,0))</f>
        <v>#N/A</v>
      </c>
      <c r="K224" t="e">
        <f>INDEX(Data!W:W,MATCH($P224,Data!$AL:$AL,0))</f>
        <v>#N/A</v>
      </c>
      <c r="L224" t="e">
        <f>INDEX(Data!X:X,MATCH($P224,Data!$AL:$AL,0))</f>
        <v>#N/A</v>
      </c>
      <c r="M224" t="e">
        <f>INDEX(Data!AD:AD,MATCH($P224,Data!$AL:$AL,0))</f>
        <v>#N/A</v>
      </c>
      <c r="N224" t="e">
        <f>INDEX(Data!AF:AF,MATCH($P224,Data!$AL:$AL,0))</f>
        <v>#N/A</v>
      </c>
      <c r="O224" t="e">
        <f>INDEX(Data!Q:Q,MATCH($P224,Data!$AL:$AL,0))</f>
        <v>#N/A</v>
      </c>
      <c r="Q224" s="3" t="str">
        <f t="shared" si="3"/>
        <v>SPCL</v>
      </c>
    </row>
    <row r="225" spans="1:17" x14ac:dyDescent="0.25">
      <c r="A225" s="4">
        <v>232</v>
      </c>
      <c r="B225" s="217" t="s">
        <v>44</v>
      </c>
      <c r="C225" s="8">
        <f>INDEX(Data!M:M,MATCH(Q225,Data!AM:AM,0))</f>
        <v>0</v>
      </c>
      <c r="D225" s="8">
        <f>INDEX(Data!O:O,MATCH(Q225,Data!AM:AM,0))</f>
        <v>0</v>
      </c>
      <c r="E225" s="1" t="e">
        <f>INDEX(Data!T:T,MATCH($P225,Data!$AL:$AL,0))</f>
        <v>#N/A</v>
      </c>
      <c r="F225" s="1" t="e">
        <f>INDEX(Data!P:P,MATCH($P225,Data!$AL:$AL,0))</f>
        <v>#N/A</v>
      </c>
      <c r="G225" s="1" t="e">
        <f>INDEX(Data!Z:Z,MATCH($P225,Data!$AL:$AL,0))</f>
        <v>#N/A</v>
      </c>
      <c r="H225" s="1" t="e">
        <f>INDEX(Data!AA:AA,MATCH($P225,Data!$AL:$AL,0))</f>
        <v>#N/A</v>
      </c>
      <c r="I225" s="1" t="e">
        <f>INDEX(Data!AB:AB,MATCH($P225,Data!$AL:$AL,0))</f>
        <v>#N/A</v>
      </c>
      <c r="J225" s="1" t="e">
        <f>INDEX(Data!V:V,MATCH($P225,Data!$AL:$AL,0))</f>
        <v>#N/A</v>
      </c>
      <c r="K225" s="1" t="e">
        <f>INDEX(Data!W:W,MATCH($P225,Data!$AL:$AL,0))</f>
        <v>#N/A</v>
      </c>
      <c r="L225" s="1" t="e">
        <f>INDEX(Data!X:X,MATCH($P225,Data!$AL:$AL,0))</f>
        <v>#N/A</v>
      </c>
      <c r="M225" s="1" t="e">
        <f>INDEX(Data!AD:AD,MATCH($P225,Data!$AL:$AL,0))</f>
        <v>#N/A</v>
      </c>
      <c r="N225" s="1" t="e">
        <f>INDEX(Data!AF:AF,MATCH($P225,Data!$AL:$AL,0))</f>
        <v>#N/A</v>
      </c>
      <c r="O225" s="1" t="e">
        <f>INDEX(Data!Q:Q,MATCH($P225,Data!$AL:$AL,0))</f>
        <v>#N/A</v>
      </c>
      <c r="P225" s="1"/>
      <c r="Q225" s="4" t="str">
        <f t="shared" si="3"/>
        <v>SPACL</v>
      </c>
    </row>
    <row r="226" spans="1:17" x14ac:dyDescent="0.25">
      <c r="A226" s="3">
        <v>233</v>
      </c>
      <c r="B226" s="218" t="s">
        <v>40</v>
      </c>
      <c r="C226" s="6">
        <f>INDEX(Data!M:M,MATCH(Q226,Data!AM:AM,0))</f>
        <v>0</v>
      </c>
      <c r="D226" s="6">
        <f>INDEX(Data!O:O,MATCH(Q226,Data!AM:AM,0))</f>
        <v>0</v>
      </c>
      <c r="E226" s="2" t="e">
        <f>INDEX(Data!T:T,MATCH($P226,Data!$AL:$AL,0))</f>
        <v>#N/A</v>
      </c>
      <c r="F226" s="2" t="e">
        <f>INDEX(Data!P:P,MATCH($P226,Data!$AL:$AL,0))</f>
        <v>#N/A</v>
      </c>
      <c r="G226" s="2" t="e">
        <f>INDEX(Data!Z:Z,MATCH($P226,Data!$AL:$AL,0))</f>
        <v>#N/A</v>
      </c>
      <c r="H226" s="2" t="e">
        <f>INDEX(Data!AA:AA,MATCH($P226,Data!$AL:$AL,0))</f>
        <v>#N/A</v>
      </c>
      <c r="I226" s="2" t="e">
        <f>INDEX(Data!AB:AB,MATCH($P226,Data!$AL:$AL,0))</f>
        <v>#N/A</v>
      </c>
      <c r="J226" s="2" t="e">
        <f>INDEX(Data!V:V,MATCH($P226,Data!$AL:$AL,0))</f>
        <v>#N/A</v>
      </c>
      <c r="K226" s="2" t="e">
        <f>INDEX(Data!W:W,MATCH($P226,Data!$AL:$AL,0))</f>
        <v>#N/A</v>
      </c>
      <c r="L226" s="2" t="e">
        <f>INDEX(Data!X:X,MATCH($P226,Data!$AL:$AL,0))</f>
        <v>#N/A</v>
      </c>
      <c r="M226" s="2" t="e">
        <f>INDEX(Data!AD:AD,MATCH($P226,Data!$AL:$AL,0))</f>
        <v>#N/A</v>
      </c>
      <c r="N226" s="2" t="e">
        <f>INDEX(Data!AF:AF,MATCH($P226,Data!$AL:$AL,0))</f>
        <v>#N/A</v>
      </c>
      <c r="O226" s="2" t="e">
        <f>INDEX(Data!Q:Q,MATCH($P226,Data!$AL:$AL,0))</f>
        <v>#N/A</v>
      </c>
      <c r="Q226" s="3" t="str">
        <f t="shared" si="3"/>
        <v>NCL</v>
      </c>
    </row>
    <row r="227" spans="1:17" x14ac:dyDescent="0.25">
      <c r="A227" s="3">
        <v>234</v>
      </c>
      <c r="B227" s="216" t="s">
        <v>41</v>
      </c>
      <c r="C227" s="7">
        <f>INDEX(Data!M:M,MATCH(Q227,Data!AM:AM,0))</f>
        <v>0</v>
      </c>
      <c r="D227" s="7">
        <f>INDEX(Data!O:O,MATCH(Q227,Data!AM:AM,0))</f>
        <v>0</v>
      </c>
      <c r="E227" t="e">
        <f>INDEX(Data!T:T,MATCH($P227,Data!$AL:$AL,0))</f>
        <v>#N/A</v>
      </c>
      <c r="F227" t="e">
        <f>INDEX(Data!P:P,MATCH($P227,Data!$AL:$AL,0))</f>
        <v>#N/A</v>
      </c>
      <c r="G227" t="e">
        <f>INDEX(Data!Z:Z,MATCH($P227,Data!$AL:$AL,0))</f>
        <v>#N/A</v>
      </c>
      <c r="H227" t="e">
        <f>INDEX(Data!AA:AA,MATCH($P227,Data!$AL:$AL,0))</f>
        <v>#N/A</v>
      </c>
      <c r="I227" t="e">
        <f>INDEX(Data!AB:AB,MATCH($P227,Data!$AL:$AL,0))</f>
        <v>#N/A</v>
      </c>
      <c r="J227" t="e">
        <f>INDEX(Data!V:V,MATCH($P227,Data!$AL:$AL,0))</f>
        <v>#N/A</v>
      </c>
      <c r="K227" t="e">
        <f>INDEX(Data!W:W,MATCH($P227,Data!$AL:$AL,0))</f>
        <v>#N/A</v>
      </c>
      <c r="L227" t="e">
        <f>INDEX(Data!X:X,MATCH($P227,Data!$AL:$AL,0))</f>
        <v>#N/A</v>
      </c>
      <c r="M227" t="e">
        <f>INDEX(Data!AD:AD,MATCH($P227,Data!$AL:$AL,0))</f>
        <v>#N/A</v>
      </c>
      <c r="N227" t="e">
        <f>INDEX(Data!AF:AF,MATCH($P227,Data!$AL:$AL,0))</f>
        <v>#N/A</v>
      </c>
      <c r="O227" t="e">
        <f>INDEX(Data!Q:Q,MATCH($P227,Data!$AL:$AL,0))</f>
        <v>#N/A</v>
      </c>
      <c r="Q227" s="3" t="str">
        <f t="shared" si="3"/>
        <v>CL</v>
      </c>
    </row>
    <row r="228" spans="1:17" x14ac:dyDescent="0.25">
      <c r="A228" s="3">
        <v>235</v>
      </c>
      <c r="B228" s="216" t="s">
        <v>42</v>
      </c>
      <c r="C228" s="7">
        <f>INDEX(Data!M:M,MATCH(Q228,Data!AM:AM,0))</f>
        <v>0</v>
      </c>
      <c r="D228" s="7">
        <f>INDEX(Data!O:O,MATCH(Q228,Data!AM:AM,0))</f>
        <v>0</v>
      </c>
      <c r="E228" t="e">
        <f>INDEX(Data!T:T,MATCH($P228,Data!$AL:$AL,0))</f>
        <v>#N/A</v>
      </c>
      <c r="F228" t="e">
        <f>INDEX(Data!P:P,MATCH($P228,Data!$AL:$AL,0))</f>
        <v>#N/A</v>
      </c>
      <c r="G228" t="e">
        <f>INDEX(Data!Z:Z,MATCH($P228,Data!$AL:$AL,0))</f>
        <v>#N/A</v>
      </c>
      <c r="H228" t="e">
        <f>INDEX(Data!AA:AA,MATCH($P228,Data!$AL:$AL,0))</f>
        <v>#N/A</v>
      </c>
      <c r="I228" t="e">
        <f>INDEX(Data!AB:AB,MATCH($P228,Data!$AL:$AL,0))</f>
        <v>#N/A</v>
      </c>
      <c r="J228" t="e">
        <f>INDEX(Data!V:V,MATCH($P228,Data!$AL:$AL,0))</f>
        <v>#N/A</v>
      </c>
      <c r="K228" t="e">
        <f>INDEX(Data!W:W,MATCH($P228,Data!$AL:$AL,0))</f>
        <v>#N/A</v>
      </c>
      <c r="L228" t="e">
        <f>INDEX(Data!X:X,MATCH($P228,Data!$AL:$AL,0))</f>
        <v>#N/A</v>
      </c>
      <c r="M228" t="e">
        <f>INDEX(Data!AD:AD,MATCH($P228,Data!$AL:$AL,0))</f>
        <v>#N/A</v>
      </c>
      <c r="N228" t="e">
        <f>INDEX(Data!AF:AF,MATCH($P228,Data!$AL:$AL,0))</f>
        <v>#N/A</v>
      </c>
      <c r="O228" t="e">
        <f>INDEX(Data!Q:Q,MATCH($P228,Data!$AL:$AL,0))</f>
        <v>#N/A</v>
      </c>
      <c r="Q228" s="3" t="str">
        <f t="shared" si="3"/>
        <v>ACL</v>
      </c>
    </row>
    <row r="229" spans="1:17" x14ac:dyDescent="0.25">
      <c r="A229" s="3">
        <v>236</v>
      </c>
      <c r="B229" s="216" t="s">
        <v>43</v>
      </c>
      <c r="C229" s="7">
        <f>INDEX(Data!M:M,MATCH(Q229,Data!AM:AM,0))</f>
        <v>0</v>
      </c>
      <c r="D229" s="7">
        <f>INDEX(Data!O:O,MATCH(Q229,Data!AM:AM,0))</f>
        <v>0</v>
      </c>
      <c r="E229" t="e">
        <f>INDEX(Data!T:T,MATCH($P229,Data!$AL:$AL,0))</f>
        <v>#N/A</v>
      </c>
      <c r="F229" t="e">
        <f>INDEX(Data!P:P,MATCH($P229,Data!$AL:$AL,0))</f>
        <v>#N/A</v>
      </c>
      <c r="G229" t="e">
        <f>INDEX(Data!Z:Z,MATCH($P229,Data!$AL:$AL,0))</f>
        <v>#N/A</v>
      </c>
      <c r="H229" t="e">
        <f>INDEX(Data!AA:AA,MATCH($P229,Data!$AL:$AL,0))</f>
        <v>#N/A</v>
      </c>
      <c r="I229" t="e">
        <f>INDEX(Data!AB:AB,MATCH($P229,Data!$AL:$AL,0))</f>
        <v>#N/A</v>
      </c>
      <c r="J229" t="e">
        <f>INDEX(Data!V:V,MATCH($P229,Data!$AL:$AL,0))</f>
        <v>#N/A</v>
      </c>
      <c r="K229" t="e">
        <f>INDEX(Data!W:W,MATCH($P229,Data!$AL:$AL,0))</f>
        <v>#N/A</v>
      </c>
      <c r="L229" t="e">
        <f>INDEX(Data!X:X,MATCH($P229,Data!$AL:$AL,0))</f>
        <v>#N/A</v>
      </c>
      <c r="M229" t="e">
        <f>INDEX(Data!AD:AD,MATCH($P229,Data!$AL:$AL,0))</f>
        <v>#N/A</v>
      </c>
      <c r="N229" t="e">
        <f>INDEX(Data!AF:AF,MATCH($P229,Data!$AL:$AL,0))</f>
        <v>#N/A</v>
      </c>
      <c r="O229" t="e">
        <f>INDEX(Data!Q:Q,MATCH($P229,Data!$AL:$AL,0))</f>
        <v>#N/A</v>
      </c>
      <c r="Q229" s="3" t="str">
        <f t="shared" si="3"/>
        <v>SPCL</v>
      </c>
    </row>
    <row r="230" spans="1:17" x14ac:dyDescent="0.25">
      <c r="A230" s="4">
        <v>237</v>
      </c>
      <c r="B230" s="217" t="s">
        <v>44</v>
      </c>
      <c r="C230" s="8">
        <f>INDEX(Data!M:M,MATCH(Q230,Data!AM:AM,0))</f>
        <v>0</v>
      </c>
      <c r="D230" s="8">
        <f>INDEX(Data!O:O,MATCH(Q230,Data!AM:AM,0))</f>
        <v>0</v>
      </c>
      <c r="E230" s="1" t="e">
        <f>INDEX(Data!T:T,MATCH($P230,Data!$AL:$AL,0))</f>
        <v>#N/A</v>
      </c>
      <c r="F230" s="1" t="e">
        <f>INDEX(Data!P:P,MATCH($P230,Data!$AL:$AL,0))</f>
        <v>#N/A</v>
      </c>
      <c r="G230" s="1" t="e">
        <f>INDEX(Data!Z:Z,MATCH($P230,Data!$AL:$AL,0))</f>
        <v>#N/A</v>
      </c>
      <c r="H230" s="1" t="e">
        <f>INDEX(Data!AA:AA,MATCH($P230,Data!$AL:$AL,0))</f>
        <v>#N/A</v>
      </c>
      <c r="I230" s="1" t="e">
        <f>INDEX(Data!AB:AB,MATCH($P230,Data!$AL:$AL,0))</f>
        <v>#N/A</v>
      </c>
      <c r="J230" s="1" t="e">
        <f>INDEX(Data!V:V,MATCH($P230,Data!$AL:$AL,0))</f>
        <v>#N/A</v>
      </c>
      <c r="K230" s="1" t="e">
        <f>INDEX(Data!W:W,MATCH($P230,Data!$AL:$AL,0))</f>
        <v>#N/A</v>
      </c>
      <c r="L230" s="1" t="e">
        <f>INDEX(Data!X:X,MATCH($P230,Data!$AL:$AL,0))</f>
        <v>#N/A</v>
      </c>
      <c r="M230" s="1" t="e">
        <f>INDEX(Data!AD:AD,MATCH($P230,Data!$AL:$AL,0))</f>
        <v>#N/A</v>
      </c>
      <c r="N230" s="1" t="e">
        <f>INDEX(Data!AF:AF,MATCH($P230,Data!$AL:$AL,0))</f>
        <v>#N/A</v>
      </c>
      <c r="O230" s="1" t="e">
        <f>INDEX(Data!Q:Q,MATCH($P230,Data!$AL:$AL,0))</f>
        <v>#N/A</v>
      </c>
      <c r="P230" s="1"/>
      <c r="Q230" s="4" t="str">
        <f t="shared" si="3"/>
        <v>SPACL</v>
      </c>
    </row>
    <row r="231" spans="1:17" x14ac:dyDescent="0.25">
      <c r="A231" s="3">
        <v>238</v>
      </c>
      <c r="B231" s="218" t="s">
        <v>40</v>
      </c>
      <c r="C231" s="6">
        <f>INDEX(Data!M:M,MATCH(Q231,Data!AM:AM,0))</f>
        <v>0</v>
      </c>
      <c r="D231" s="6">
        <f>INDEX(Data!O:O,MATCH(Q231,Data!AM:AM,0))</f>
        <v>0</v>
      </c>
      <c r="E231" s="2" t="e">
        <f>INDEX(Data!T:T,MATCH($P231,Data!$AL:$AL,0))</f>
        <v>#N/A</v>
      </c>
      <c r="F231" s="2" t="e">
        <f>INDEX(Data!P:P,MATCH($P231,Data!$AL:$AL,0))</f>
        <v>#N/A</v>
      </c>
      <c r="G231" s="2" t="e">
        <f>INDEX(Data!Z:Z,MATCH($P231,Data!$AL:$AL,0))</f>
        <v>#N/A</v>
      </c>
      <c r="H231" s="2" t="e">
        <f>INDEX(Data!AA:AA,MATCH($P231,Data!$AL:$AL,0))</f>
        <v>#N/A</v>
      </c>
      <c r="I231" s="2" t="e">
        <f>INDEX(Data!AB:AB,MATCH($P231,Data!$AL:$AL,0))</f>
        <v>#N/A</v>
      </c>
      <c r="J231" s="2" t="e">
        <f>INDEX(Data!V:V,MATCH($P231,Data!$AL:$AL,0))</f>
        <v>#N/A</v>
      </c>
      <c r="K231" s="2" t="e">
        <f>INDEX(Data!W:W,MATCH($P231,Data!$AL:$AL,0))</f>
        <v>#N/A</v>
      </c>
      <c r="L231" s="2" t="e">
        <f>INDEX(Data!X:X,MATCH($P231,Data!$AL:$AL,0))</f>
        <v>#N/A</v>
      </c>
      <c r="M231" s="2" t="e">
        <f>INDEX(Data!AD:AD,MATCH($P231,Data!$AL:$AL,0))</f>
        <v>#N/A</v>
      </c>
      <c r="N231" s="2" t="e">
        <f>INDEX(Data!AF:AF,MATCH($P231,Data!$AL:$AL,0))</f>
        <v>#N/A</v>
      </c>
      <c r="O231" s="2" t="e">
        <f>INDEX(Data!Q:Q,MATCH($P231,Data!$AL:$AL,0))</f>
        <v>#N/A</v>
      </c>
      <c r="Q231" s="3" t="str">
        <f t="shared" si="3"/>
        <v>NCL</v>
      </c>
    </row>
    <row r="232" spans="1:17" x14ac:dyDescent="0.25">
      <c r="A232" s="3">
        <v>239</v>
      </c>
      <c r="B232" s="216" t="s">
        <v>41</v>
      </c>
      <c r="C232" s="7">
        <f>INDEX(Data!M:M,MATCH(Q232,Data!AM:AM,0))</f>
        <v>0</v>
      </c>
      <c r="D232" s="7">
        <f>INDEX(Data!O:O,MATCH(Q232,Data!AM:AM,0))</f>
        <v>0</v>
      </c>
      <c r="E232" t="e">
        <f>INDEX(Data!T:T,MATCH($P232,Data!$AL:$AL,0))</f>
        <v>#N/A</v>
      </c>
      <c r="F232" t="e">
        <f>INDEX(Data!P:P,MATCH($P232,Data!$AL:$AL,0))</f>
        <v>#N/A</v>
      </c>
      <c r="G232" t="e">
        <f>INDEX(Data!Z:Z,MATCH($P232,Data!$AL:$AL,0))</f>
        <v>#N/A</v>
      </c>
      <c r="H232" t="e">
        <f>INDEX(Data!AA:AA,MATCH($P232,Data!$AL:$AL,0))</f>
        <v>#N/A</v>
      </c>
      <c r="I232" t="e">
        <f>INDEX(Data!AB:AB,MATCH($P232,Data!$AL:$AL,0))</f>
        <v>#N/A</v>
      </c>
      <c r="J232" t="e">
        <f>INDEX(Data!V:V,MATCH($P232,Data!$AL:$AL,0))</f>
        <v>#N/A</v>
      </c>
      <c r="K232" t="e">
        <f>INDEX(Data!W:W,MATCH($P232,Data!$AL:$AL,0))</f>
        <v>#N/A</v>
      </c>
      <c r="L232" t="e">
        <f>INDEX(Data!X:X,MATCH($P232,Data!$AL:$AL,0))</f>
        <v>#N/A</v>
      </c>
      <c r="M232" t="e">
        <f>INDEX(Data!AD:AD,MATCH($P232,Data!$AL:$AL,0))</f>
        <v>#N/A</v>
      </c>
      <c r="N232" t="e">
        <f>INDEX(Data!AF:AF,MATCH($P232,Data!$AL:$AL,0))</f>
        <v>#N/A</v>
      </c>
      <c r="O232" t="e">
        <f>INDEX(Data!Q:Q,MATCH($P232,Data!$AL:$AL,0))</f>
        <v>#N/A</v>
      </c>
      <c r="Q232" s="3" t="str">
        <f t="shared" si="3"/>
        <v>CL</v>
      </c>
    </row>
    <row r="233" spans="1:17" x14ac:dyDescent="0.25">
      <c r="A233" s="3">
        <v>240</v>
      </c>
      <c r="B233" s="216" t="s">
        <v>42</v>
      </c>
      <c r="C233" s="7">
        <f>INDEX(Data!M:M,MATCH(Q233,Data!AM:AM,0))</f>
        <v>0</v>
      </c>
      <c r="D233" s="7">
        <f>INDEX(Data!O:O,MATCH(Q233,Data!AM:AM,0))</f>
        <v>0</v>
      </c>
      <c r="E233" t="e">
        <f>INDEX(Data!T:T,MATCH($P233,Data!$AL:$AL,0))</f>
        <v>#N/A</v>
      </c>
      <c r="F233" t="e">
        <f>INDEX(Data!P:P,MATCH($P233,Data!$AL:$AL,0))</f>
        <v>#N/A</v>
      </c>
      <c r="G233" t="e">
        <f>INDEX(Data!Z:Z,MATCH($P233,Data!$AL:$AL,0))</f>
        <v>#N/A</v>
      </c>
      <c r="H233" t="e">
        <f>INDEX(Data!AA:AA,MATCH($P233,Data!$AL:$AL,0))</f>
        <v>#N/A</v>
      </c>
      <c r="I233" t="e">
        <f>INDEX(Data!AB:AB,MATCH($P233,Data!$AL:$AL,0))</f>
        <v>#N/A</v>
      </c>
      <c r="J233" t="e">
        <f>INDEX(Data!V:V,MATCH($P233,Data!$AL:$AL,0))</f>
        <v>#N/A</v>
      </c>
      <c r="K233" t="e">
        <f>INDEX(Data!W:W,MATCH($P233,Data!$AL:$AL,0))</f>
        <v>#N/A</v>
      </c>
      <c r="L233" t="e">
        <f>INDEX(Data!X:X,MATCH($P233,Data!$AL:$AL,0))</f>
        <v>#N/A</v>
      </c>
      <c r="M233" t="e">
        <f>INDEX(Data!AD:AD,MATCH($P233,Data!$AL:$AL,0))</f>
        <v>#N/A</v>
      </c>
      <c r="N233" t="e">
        <f>INDEX(Data!AF:AF,MATCH($P233,Data!$AL:$AL,0))</f>
        <v>#N/A</v>
      </c>
      <c r="O233" t="e">
        <f>INDEX(Data!Q:Q,MATCH($P233,Data!$AL:$AL,0))</f>
        <v>#N/A</v>
      </c>
      <c r="Q233" s="3" t="str">
        <f t="shared" si="3"/>
        <v>ACL</v>
      </c>
    </row>
    <row r="234" spans="1:17" x14ac:dyDescent="0.25">
      <c r="A234" s="3">
        <v>241</v>
      </c>
      <c r="B234" s="216" t="s">
        <v>43</v>
      </c>
      <c r="C234" s="7">
        <f>INDEX(Data!M:M,MATCH(Q234,Data!AM:AM,0))</f>
        <v>0</v>
      </c>
      <c r="D234" s="7">
        <f>INDEX(Data!O:O,MATCH(Q234,Data!AM:AM,0))</f>
        <v>0</v>
      </c>
      <c r="E234" t="e">
        <f>INDEX(Data!T:T,MATCH($P234,Data!$AL:$AL,0))</f>
        <v>#N/A</v>
      </c>
      <c r="F234" t="e">
        <f>INDEX(Data!P:P,MATCH($P234,Data!$AL:$AL,0))</f>
        <v>#N/A</v>
      </c>
      <c r="G234" t="e">
        <f>INDEX(Data!Z:Z,MATCH($P234,Data!$AL:$AL,0))</f>
        <v>#N/A</v>
      </c>
      <c r="H234" t="e">
        <f>INDEX(Data!AA:AA,MATCH($P234,Data!$AL:$AL,0))</f>
        <v>#N/A</v>
      </c>
      <c r="I234" t="e">
        <f>INDEX(Data!AB:AB,MATCH($P234,Data!$AL:$AL,0))</f>
        <v>#N/A</v>
      </c>
      <c r="J234" t="e">
        <f>INDEX(Data!V:V,MATCH($P234,Data!$AL:$AL,0))</f>
        <v>#N/A</v>
      </c>
      <c r="K234" t="e">
        <f>INDEX(Data!W:W,MATCH($P234,Data!$AL:$AL,0))</f>
        <v>#N/A</v>
      </c>
      <c r="L234" t="e">
        <f>INDEX(Data!X:X,MATCH($P234,Data!$AL:$AL,0))</f>
        <v>#N/A</v>
      </c>
      <c r="M234" t="e">
        <f>INDEX(Data!AD:AD,MATCH($P234,Data!$AL:$AL,0))</f>
        <v>#N/A</v>
      </c>
      <c r="N234" t="e">
        <f>INDEX(Data!AF:AF,MATCH($P234,Data!$AL:$AL,0))</f>
        <v>#N/A</v>
      </c>
      <c r="O234" t="e">
        <f>INDEX(Data!Q:Q,MATCH($P234,Data!$AL:$AL,0))</f>
        <v>#N/A</v>
      </c>
      <c r="Q234" s="3" t="str">
        <f t="shared" si="3"/>
        <v>SPCL</v>
      </c>
    </row>
    <row r="235" spans="1:17" x14ac:dyDescent="0.25">
      <c r="A235" s="4">
        <v>242</v>
      </c>
      <c r="B235" s="217" t="s">
        <v>44</v>
      </c>
      <c r="C235" s="8">
        <f>INDEX(Data!M:M,MATCH(Q235,Data!AM:AM,0))</f>
        <v>0</v>
      </c>
      <c r="D235" s="8">
        <f>INDEX(Data!O:O,MATCH(Q235,Data!AM:AM,0))</f>
        <v>0</v>
      </c>
      <c r="E235" s="1" t="e">
        <f>INDEX(Data!T:T,MATCH($P235,Data!$AL:$AL,0))</f>
        <v>#N/A</v>
      </c>
      <c r="F235" s="1" t="e">
        <f>INDEX(Data!P:P,MATCH($P235,Data!$AL:$AL,0))</f>
        <v>#N/A</v>
      </c>
      <c r="G235" s="1" t="e">
        <f>INDEX(Data!Z:Z,MATCH($P235,Data!$AL:$AL,0))</f>
        <v>#N/A</v>
      </c>
      <c r="H235" s="1" t="e">
        <f>INDEX(Data!AA:AA,MATCH($P235,Data!$AL:$AL,0))</f>
        <v>#N/A</v>
      </c>
      <c r="I235" s="1" t="e">
        <f>INDEX(Data!AB:AB,MATCH($P235,Data!$AL:$AL,0))</f>
        <v>#N/A</v>
      </c>
      <c r="J235" s="1" t="e">
        <f>INDEX(Data!V:V,MATCH($P235,Data!$AL:$AL,0))</f>
        <v>#N/A</v>
      </c>
      <c r="K235" s="1" t="e">
        <f>INDEX(Data!W:W,MATCH($P235,Data!$AL:$AL,0))</f>
        <v>#N/A</v>
      </c>
      <c r="L235" s="1" t="e">
        <f>INDEX(Data!X:X,MATCH($P235,Data!$AL:$AL,0))</f>
        <v>#N/A</v>
      </c>
      <c r="M235" s="1" t="e">
        <f>INDEX(Data!AD:AD,MATCH($P235,Data!$AL:$AL,0))</f>
        <v>#N/A</v>
      </c>
      <c r="N235" s="1" t="e">
        <f>INDEX(Data!AF:AF,MATCH($P235,Data!$AL:$AL,0))</f>
        <v>#N/A</v>
      </c>
      <c r="O235" s="1" t="e">
        <f>INDEX(Data!Q:Q,MATCH($P235,Data!$AL:$AL,0))</f>
        <v>#N/A</v>
      </c>
      <c r="P235" s="1"/>
      <c r="Q235" s="4" t="str">
        <f t="shared" si="3"/>
        <v>SPACL</v>
      </c>
    </row>
    <row r="236" spans="1:17" x14ac:dyDescent="0.25">
      <c r="A236" s="3">
        <v>243</v>
      </c>
      <c r="B236" s="218" t="s">
        <v>40</v>
      </c>
      <c r="C236" s="6">
        <f>INDEX(Data!M:M,MATCH(Q236,Data!AM:AM,0))</f>
        <v>0</v>
      </c>
      <c r="D236" s="6">
        <f>INDEX(Data!O:O,MATCH(Q236,Data!AM:AM,0))</f>
        <v>0</v>
      </c>
      <c r="E236" s="2" t="e">
        <f>INDEX(Data!T:T,MATCH($P236,Data!$AL:$AL,0))</f>
        <v>#N/A</v>
      </c>
      <c r="F236" s="2" t="e">
        <f>INDEX(Data!P:P,MATCH($P236,Data!$AL:$AL,0))</f>
        <v>#N/A</v>
      </c>
      <c r="G236" s="2" t="e">
        <f>INDEX(Data!Z:Z,MATCH($P236,Data!$AL:$AL,0))</f>
        <v>#N/A</v>
      </c>
      <c r="H236" s="2" t="e">
        <f>INDEX(Data!AA:AA,MATCH($P236,Data!$AL:$AL,0))</f>
        <v>#N/A</v>
      </c>
      <c r="I236" s="2" t="e">
        <f>INDEX(Data!AB:AB,MATCH($P236,Data!$AL:$AL,0))</f>
        <v>#N/A</v>
      </c>
      <c r="J236" s="2" t="e">
        <f>INDEX(Data!V:V,MATCH($P236,Data!$AL:$AL,0))</f>
        <v>#N/A</v>
      </c>
      <c r="K236" s="2" t="e">
        <f>INDEX(Data!W:W,MATCH($P236,Data!$AL:$AL,0))</f>
        <v>#N/A</v>
      </c>
      <c r="L236" s="2" t="e">
        <f>INDEX(Data!X:X,MATCH($P236,Data!$AL:$AL,0))</f>
        <v>#N/A</v>
      </c>
      <c r="M236" s="2" t="e">
        <f>INDEX(Data!AD:AD,MATCH($P236,Data!$AL:$AL,0))</f>
        <v>#N/A</v>
      </c>
      <c r="N236" s="2" t="e">
        <f>INDEX(Data!AF:AF,MATCH($P236,Data!$AL:$AL,0))</f>
        <v>#N/A</v>
      </c>
      <c r="O236" s="2" t="e">
        <f>INDEX(Data!Q:Q,MATCH($P236,Data!$AL:$AL,0))</f>
        <v>#N/A</v>
      </c>
      <c r="Q236" s="3" t="str">
        <f t="shared" si="3"/>
        <v>NCL</v>
      </c>
    </row>
    <row r="237" spans="1:17" x14ac:dyDescent="0.25">
      <c r="A237" s="3">
        <v>244</v>
      </c>
      <c r="B237" s="216" t="s">
        <v>41</v>
      </c>
      <c r="C237" s="7">
        <f>INDEX(Data!M:M,MATCH(Q237,Data!AM:AM,0))</f>
        <v>0</v>
      </c>
      <c r="D237" s="7">
        <f>INDEX(Data!O:O,MATCH(Q237,Data!AM:AM,0))</f>
        <v>0</v>
      </c>
      <c r="E237" t="e">
        <f>INDEX(Data!T:T,MATCH($P237,Data!$AL:$AL,0))</f>
        <v>#N/A</v>
      </c>
      <c r="F237" t="e">
        <f>INDEX(Data!P:P,MATCH($P237,Data!$AL:$AL,0))</f>
        <v>#N/A</v>
      </c>
      <c r="G237" t="e">
        <f>INDEX(Data!Z:Z,MATCH($P237,Data!$AL:$AL,0))</f>
        <v>#N/A</v>
      </c>
      <c r="H237" t="e">
        <f>INDEX(Data!AA:AA,MATCH($P237,Data!$AL:$AL,0))</f>
        <v>#N/A</v>
      </c>
      <c r="I237" t="e">
        <f>INDEX(Data!AB:AB,MATCH($P237,Data!$AL:$AL,0))</f>
        <v>#N/A</v>
      </c>
      <c r="J237" t="e">
        <f>INDEX(Data!V:V,MATCH($P237,Data!$AL:$AL,0))</f>
        <v>#N/A</v>
      </c>
      <c r="K237" t="e">
        <f>INDEX(Data!W:W,MATCH($P237,Data!$AL:$AL,0))</f>
        <v>#N/A</v>
      </c>
      <c r="L237" t="e">
        <f>INDEX(Data!X:X,MATCH($P237,Data!$AL:$AL,0))</f>
        <v>#N/A</v>
      </c>
      <c r="M237" t="e">
        <f>INDEX(Data!AD:AD,MATCH($P237,Data!$AL:$AL,0))</f>
        <v>#N/A</v>
      </c>
      <c r="N237" t="e">
        <f>INDEX(Data!AF:AF,MATCH($P237,Data!$AL:$AL,0))</f>
        <v>#N/A</v>
      </c>
      <c r="O237" t="e">
        <f>INDEX(Data!Q:Q,MATCH($P237,Data!$AL:$AL,0))</f>
        <v>#N/A</v>
      </c>
      <c r="Q237" s="3" t="str">
        <f t="shared" si="3"/>
        <v>CL</v>
      </c>
    </row>
    <row r="238" spans="1:17" x14ac:dyDescent="0.25">
      <c r="A238" s="3">
        <v>245</v>
      </c>
      <c r="B238" s="216" t="s">
        <v>42</v>
      </c>
      <c r="C238" s="7">
        <f>INDEX(Data!M:M,MATCH(Q238,Data!AM:AM,0))</f>
        <v>0</v>
      </c>
      <c r="D238" s="7">
        <f>INDEX(Data!O:O,MATCH(Q238,Data!AM:AM,0))</f>
        <v>0</v>
      </c>
      <c r="E238" t="e">
        <f>INDEX(Data!T:T,MATCH($P238,Data!$AL:$AL,0))</f>
        <v>#N/A</v>
      </c>
      <c r="F238" t="e">
        <f>INDEX(Data!P:P,MATCH($P238,Data!$AL:$AL,0))</f>
        <v>#N/A</v>
      </c>
      <c r="G238" t="e">
        <f>INDEX(Data!Z:Z,MATCH($P238,Data!$AL:$AL,0))</f>
        <v>#N/A</v>
      </c>
      <c r="H238" t="e">
        <f>INDEX(Data!AA:AA,MATCH($P238,Data!$AL:$AL,0))</f>
        <v>#N/A</v>
      </c>
      <c r="I238" t="e">
        <f>INDEX(Data!AB:AB,MATCH($P238,Data!$AL:$AL,0))</f>
        <v>#N/A</v>
      </c>
      <c r="J238" t="e">
        <f>INDEX(Data!V:V,MATCH($P238,Data!$AL:$AL,0))</f>
        <v>#N/A</v>
      </c>
      <c r="K238" t="e">
        <f>INDEX(Data!W:W,MATCH($P238,Data!$AL:$AL,0))</f>
        <v>#N/A</v>
      </c>
      <c r="L238" t="e">
        <f>INDEX(Data!X:X,MATCH($P238,Data!$AL:$AL,0))</f>
        <v>#N/A</v>
      </c>
      <c r="M238" t="e">
        <f>INDEX(Data!AD:AD,MATCH($P238,Data!$AL:$AL,0))</f>
        <v>#N/A</v>
      </c>
      <c r="N238" t="e">
        <f>INDEX(Data!AF:AF,MATCH($P238,Data!$AL:$AL,0))</f>
        <v>#N/A</v>
      </c>
      <c r="O238" t="e">
        <f>INDEX(Data!Q:Q,MATCH($P238,Data!$AL:$AL,0))</f>
        <v>#N/A</v>
      </c>
      <c r="Q238" s="3" t="str">
        <f t="shared" si="3"/>
        <v>ACL</v>
      </c>
    </row>
    <row r="239" spans="1:17" x14ac:dyDescent="0.25">
      <c r="A239" s="3">
        <v>246</v>
      </c>
      <c r="B239" s="216" t="s">
        <v>43</v>
      </c>
      <c r="C239" s="7">
        <f>INDEX(Data!M:M,MATCH(Q239,Data!AM:AM,0))</f>
        <v>0</v>
      </c>
      <c r="D239" s="7">
        <f>INDEX(Data!O:O,MATCH(Q239,Data!AM:AM,0))</f>
        <v>0</v>
      </c>
      <c r="E239" t="e">
        <f>INDEX(Data!T:T,MATCH($P239,Data!$AL:$AL,0))</f>
        <v>#N/A</v>
      </c>
      <c r="F239" t="e">
        <f>INDEX(Data!P:P,MATCH($P239,Data!$AL:$AL,0))</f>
        <v>#N/A</v>
      </c>
      <c r="G239" t="e">
        <f>INDEX(Data!Z:Z,MATCH($P239,Data!$AL:$AL,0))</f>
        <v>#N/A</v>
      </c>
      <c r="H239" t="e">
        <f>INDEX(Data!AA:AA,MATCH($P239,Data!$AL:$AL,0))</f>
        <v>#N/A</v>
      </c>
      <c r="I239" t="e">
        <f>INDEX(Data!AB:AB,MATCH($P239,Data!$AL:$AL,0))</f>
        <v>#N/A</v>
      </c>
      <c r="J239" t="e">
        <f>INDEX(Data!V:V,MATCH($P239,Data!$AL:$AL,0))</f>
        <v>#N/A</v>
      </c>
      <c r="K239" t="e">
        <f>INDEX(Data!W:W,MATCH($P239,Data!$AL:$AL,0))</f>
        <v>#N/A</v>
      </c>
      <c r="L239" t="e">
        <f>INDEX(Data!X:X,MATCH($P239,Data!$AL:$AL,0))</f>
        <v>#N/A</v>
      </c>
      <c r="M239" t="e">
        <f>INDEX(Data!AD:AD,MATCH($P239,Data!$AL:$AL,0))</f>
        <v>#N/A</v>
      </c>
      <c r="N239" t="e">
        <f>INDEX(Data!AF:AF,MATCH($P239,Data!$AL:$AL,0))</f>
        <v>#N/A</v>
      </c>
      <c r="O239" t="e">
        <f>INDEX(Data!Q:Q,MATCH($P239,Data!$AL:$AL,0))</f>
        <v>#N/A</v>
      </c>
      <c r="Q239" s="3" t="str">
        <f t="shared" si="3"/>
        <v>SPCL</v>
      </c>
    </row>
    <row r="240" spans="1:17" x14ac:dyDescent="0.25">
      <c r="A240" s="4">
        <v>247</v>
      </c>
      <c r="B240" s="217" t="s">
        <v>44</v>
      </c>
      <c r="C240" s="8">
        <f>INDEX(Data!M:M,MATCH(Q240,Data!AM:AM,0))</f>
        <v>0</v>
      </c>
      <c r="D240" s="8">
        <f>INDEX(Data!O:O,MATCH(Q240,Data!AM:AM,0))</f>
        <v>0</v>
      </c>
      <c r="E240" s="1" t="e">
        <f>INDEX(Data!T:T,MATCH($P240,Data!$AL:$AL,0))</f>
        <v>#N/A</v>
      </c>
      <c r="F240" s="1" t="e">
        <f>INDEX(Data!P:P,MATCH($P240,Data!$AL:$AL,0))</f>
        <v>#N/A</v>
      </c>
      <c r="G240" s="1" t="e">
        <f>INDEX(Data!Z:Z,MATCH($P240,Data!$AL:$AL,0))</f>
        <v>#N/A</v>
      </c>
      <c r="H240" s="1" t="e">
        <f>INDEX(Data!AA:AA,MATCH($P240,Data!$AL:$AL,0))</f>
        <v>#N/A</v>
      </c>
      <c r="I240" s="1" t="e">
        <f>INDEX(Data!AB:AB,MATCH($P240,Data!$AL:$AL,0))</f>
        <v>#N/A</v>
      </c>
      <c r="J240" s="1" t="e">
        <f>INDEX(Data!V:V,MATCH($P240,Data!$AL:$AL,0))</f>
        <v>#N/A</v>
      </c>
      <c r="K240" s="1" t="e">
        <f>INDEX(Data!W:W,MATCH($P240,Data!$AL:$AL,0))</f>
        <v>#N/A</v>
      </c>
      <c r="L240" s="1" t="e">
        <f>INDEX(Data!X:X,MATCH($P240,Data!$AL:$AL,0))</f>
        <v>#N/A</v>
      </c>
      <c r="M240" s="1" t="e">
        <f>INDEX(Data!AD:AD,MATCH($P240,Data!$AL:$AL,0))</f>
        <v>#N/A</v>
      </c>
      <c r="N240" s="1" t="e">
        <f>INDEX(Data!AF:AF,MATCH($P240,Data!$AL:$AL,0))</f>
        <v>#N/A</v>
      </c>
      <c r="O240" s="1" t="e">
        <f>INDEX(Data!Q:Q,MATCH($P240,Data!$AL:$AL,0))</f>
        <v>#N/A</v>
      </c>
      <c r="P240" s="1"/>
      <c r="Q240" s="4" t="str">
        <f t="shared" si="3"/>
        <v>SPACL</v>
      </c>
    </row>
    <row r="241" spans="1:17" x14ac:dyDescent="0.25">
      <c r="A241" s="3">
        <v>248</v>
      </c>
      <c r="B241" s="218" t="s">
        <v>40</v>
      </c>
      <c r="C241" s="6">
        <f>INDEX(Data!M:M,MATCH(Q241,Data!AM:AM,0))</f>
        <v>0</v>
      </c>
      <c r="D241" s="6">
        <f>INDEX(Data!O:O,MATCH(Q241,Data!AM:AM,0))</f>
        <v>0</v>
      </c>
      <c r="E241" s="2" t="e">
        <f>INDEX(Data!T:T,MATCH($P241,Data!$AL:$AL,0))</f>
        <v>#N/A</v>
      </c>
      <c r="F241" s="2" t="e">
        <f>INDEX(Data!P:P,MATCH($P241,Data!$AL:$AL,0))</f>
        <v>#N/A</v>
      </c>
      <c r="G241" s="2" t="e">
        <f>INDEX(Data!Z:Z,MATCH($P241,Data!$AL:$AL,0))</f>
        <v>#N/A</v>
      </c>
      <c r="H241" s="2" t="e">
        <f>INDEX(Data!AA:AA,MATCH($P241,Data!$AL:$AL,0))</f>
        <v>#N/A</v>
      </c>
      <c r="I241" s="2" t="e">
        <f>INDEX(Data!AB:AB,MATCH($P241,Data!$AL:$AL,0))</f>
        <v>#N/A</v>
      </c>
      <c r="J241" s="2" t="e">
        <f>INDEX(Data!V:V,MATCH($P241,Data!$AL:$AL,0))</f>
        <v>#N/A</v>
      </c>
      <c r="K241" s="2" t="e">
        <f>INDEX(Data!W:W,MATCH($P241,Data!$AL:$AL,0))</f>
        <v>#N/A</v>
      </c>
      <c r="L241" s="2" t="e">
        <f>INDEX(Data!X:X,MATCH($P241,Data!$AL:$AL,0))</f>
        <v>#N/A</v>
      </c>
      <c r="M241" s="2" t="e">
        <f>INDEX(Data!AD:AD,MATCH($P241,Data!$AL:$AL,0))</f>
        <v>#N/A</v>
      </c>
      <c r="N241" s="2" t="e">
        <f>INDEX(Data!AF:AF,MATCH($P241,Data!$AL:$AL,0))</f>
        <v>#N/A</v>
      </c>
      <c r="O241" s="2" t="e">
        <f>INDEX(Data!Q:Q,MATCH($P241,Data!$AL:$AL,0))</f>
        <v>#N/A</v>
      </c>
      <c r="Q241" s="3" t="str">
        <f t="shared" si="3"/>
        <v>NCL</v>
      </c>
    </row>
    <row r="242" spans="1:17" x14ac:dyDescent="0.25">
      <c r="A242" s="3">
        <v>249</v>
      </c>
      <c r="B242" s="216" t="s">
        <v>41</v>
      </c>
      <c r="C242" s="7">
        <f>INDEX(Data!M:M,MATCH(Q242,Data!AM:AM,0))</f>
        <v>0</v>
      </c>
      <c r="D242" s="7">
        <f>INDEX(Data!O:O,MATCH(Q242,Data!AM:AM,0))</f>
        <v>0</v>
      </c>
      <c r="E242" t="e">
        <f>INDEX(Data!T:T,MATCH($P242,Data!$AL:$AL,0))</f>
        <v>#N/A</v>
      </c>
      <c r="F242" t="e">
        <f>INDEX(Data!P:P,MATCH($P242,Data!$AL:$AL,0))</f>
        <v>#N/A</v>
      </c>
      <c r="G242" t="e">
        <f>INDEX(Data!Z:Z,MATCH($P242,Data!$AL:$AL,0))</f>
        <v>#N/A</v>
      </c>
      <c r="H242" t="e">
        <f>INDEX(Data!AA:AA,MATCH($P242,Data!$AL:$AL,0))</f>
        <v>#N/A</v>
      </c>
      <c r="I242" t="e">
        <f>INDEX(Data!AB:AB,MATCH($P242,Data!$AL:$AL,0))</f>
        <v>#N/A</v>
      </c>
      <c r="J242" t="e">
        <f>INDEX(Data!V:V,MATCH($P242,Data!$AL:$AL,0))</f>
        <v>#N/A</v>
      </c>
      <c r="K242" t="e">
        <f>INDEX(Data!W:W,MATCH($P242,Data!$AL:$AL,0))</f>
        <v>#N/A</v>
      </c>
      <c r="L242" t="e">
        <f>INDEX(Data!X:X,MATCH($P242,Data!$AL:$AL,0))</f>
        <v>#N/A</v>
      </c>
      <c r="M242" t="e">
        <f>INDEX(Data!AD:AD,MATCH($P242,Data!$AL:$AL,0))</f>
        <v>#N/A</v>
      </c>
      <c r="N242" t="e">
        <f>INDEX(Data!AF:AF,MATCH($P242,Data!$AL:$AL,0))</f>
        <v>#N/A</v>
      </c>
      <c r="O242" t="e">
        <f>INDEX(Data!Q:Q,MATCH($P242,Data!$AL:$AL,0))</f>
        <v>#N/A</v>
      </c>
      <c r="Q242" s="3" t="str">
        <f t="shared" si="3"/>
        <v>CL</v>
      </c>
    </row>
    <row r="243" spans="1:17" x14ac:dyDescent="0.25">
      <c r="A243" s="3">
        <v>250</v>
      </c>
      <c r="B243" s="216" t="s">
        <v>42</v>
      </c>
      <c r="C243" s="7">
        <f>INDEX(Data!M:M,MATCH(Q243,Data!AM:AM,0))</f>
        <v>0</v>
      </c>
      <c r="D243" s="7">
        <f>INDEX(Data!O:O,MATCH(Q243,Data!AM:AM,0))</f>
        <v>0</v>
      </c>
      <c r="E243" t="e">
        <f>INDEX(Data!T:T,MATCH($P243,Data!$AL:$AL,0))</f>
        <v>#N/A</v>
      </c>
      <c r="F243" t="e">
        <f>INDEX(Data!P:P,MATCH($P243,Data!$AL:$AL,0))</f>
        <v>#N/A</v>
      </c>
      <c r="G243" t="e">
        <f>INDEX(Data!Z:Z,MATCH($P243,Data!$AL:$AL,0))</f>
        <v>#N/A</v>
      </c>
      <c r="H243" t="e">
        <f>INDEX(Data!AA:AA,MATCH($P243,Data!$AL:$AL,0))</f>
        <v>#N/A</v>
      </c>
      <c r="I243" t="e">
        <f>INDEX(Data!AB:AB,MATCH($P243,Data!$AL:$AL,0))</f>
        <v>#N/A</v>
      </c>
      <c r="J243" t="e">
        <f>INDEX(Data!V:V,MATCH($P243,Data!$AL:$AL,0))</f>
        <v>#N/A</v>
      </c>
      <c r="K243" t="e">
        <f>INDEX(Data!W:W,MATCH($P243,Data!$AL:$AL,0))</f>
        <v>#N/A</v>
      </c>
      <c r="L243" t="e">
        <f>INDEX(Data!X:X,MATCH($P243,Data!$AL:$AL,0))</f>
        <v>#N/A</v>
      </c>
      <c r="M243" t="e">
        <f>INDEX(Data!AD:AD,MATCH($P243,Data!$AL:$AL,0))</f>
        <v>#N/A</v>
      </c>
      <c r="N243" t="e">
        <f>INDEX(Data!AF:AF,MATCH($P243,Data!$AL:$AL,0))</f>
        <v>#N/A</v>
      </c>
      <c r="O243" t="e">
        <f>INDEX(Data!Q:Q,MATCH($P243,Data!$AL:$AL,0))</f>
        <v>#N/A</v>
      </c>
      <c r="Q243" s="3" t="str">
        <f t="shared" si="3"/>
        <v>ACL</v>
      </c>
    </row>
    <row r="244" spans="1:17" x14ac:dyDescent="0.25">
      <c r="A244" s="3">
        <v>251</v>
      </c>
      <c r="B244" s="216" t="s">
        <v>43</v>
      </c>
      <c r="C244" s="7">
        <f>INDEX(Data!M:M,MATCH(Q244,Data!AM:AM,0))</f>
        <v>0</v>
      </c>
      <c r="D244" s="7">
        <f>INDEX(Data!O:O,MATCH(Q244,Data!AM:AM,0))</f>
        <v>0</v>
      </c>
      <c r="E244" t="e">
        <f>INDEX(Data!T:T,MATCH($P244,Data!$AL:$AL,0))</f>
        <v>#N/A</v>
      </c>
      <c r="F244" t="e">
        <f>INDEX(Data!P:P,MATCH($P244,Data!$AL:$AL,0))</f>
        <v>#N/A</v>
      </c>
      <c r="G244" t="e">
        <f>INDEX(Data!Z:Z,MATCH($P244,Data!$AL:$AL,0))</f>
        <v>#N/A</v>
      </c>
      <c r="H244" t="e">
        <f>INDEX(Data!AA:AA,MATCH($P244,Data!$AL:$AL,0))</f>
        <v>#N/A</v>
      </c>
      <c r="I244" t="e">
        <f>INDEX(Data!AB:AB,MATCH($P244,Data!$AL:$AL,0))</f>
        <v>#N/A</v>
      </c>
      <c r="J244" t="e">
        <f>INDEX(Data!V:V,MATCH($P244,Data!$AL:$AL,0))</f>
        <v>#N/A</v>
      </c>
      <c r="K244" t="e">
        <f>INDEX(Data!W:W,MATCH($P244,Data!$AL:$AL,0))</f>
        <v>#N/A</v>
      </c>
      <c r="L244" t="e">
        <f>INDEX(Data!X:X,MATCH($P244,Data!$AL:$AL,0))</f>
        <v>#N/A</v>
      </c>
      <c r="M244" t="e">
        <f>INDEX(Data!AD:AD,MATCH($P244,Data!$AL:$AL,0))</f>
        <v>#N/A</v>
      </c>
      <c r="N244" t="e">
        <f>INDEX(Data!AF:AF,MATCH($P244,Data!$AL:$AL,0))</f>
        <v>#N/A</v>
      </c>
      <c r="O244" t="e">
        <f>INDEX(Data!Q:Q,MATCH($P244,Data!$AL:$AL,0))</f>
        <v>#N/A</v>
      </c>
      <c r="Q244" s="3" t="str">
        <f t="shared" si="3"/>
        <v>SPCL</v>
      </c>
    </row>
    <row r="245" spans="1:17" x14ac:dyDescent="0.25">
      <c r="A245" s="4">
        <v>252</v>
      </c>
      <c r="B245" s="217" t="s">
        <v>44</v>
      </c>
      <c r="C245" s="8">
        <f>INDEX(Data!M:M,MATCH(Q245,Data!AM:AM,0))</f>
        <v>0</v>
      </c>
      <c r="D245" s="8">
        <f>INDEX(Data!O:O,MATCH(Q245,Data!AM:AM,0))</f>
        <v>0</v>
      </c>
      <c r="E245" s="1" t="e">
        <f>INDEX(Data!T:T,MATCH($P245,Data!$AL:$AL,0))</f>
        <v>#N/A</v>
      </c>
      <c r="F245" s="1" t="e">
        <f>INDEX(Data!P:P,MATCH($P245,Data!$AL:$AL,0))</f>
        <v>#N/A</v>
      </c>
      <c r="G245" s="1" t="e">
        <f>INDEX(Data!Z:Z,MATCH($P245,Data!$AL:$AL,0))</f>
        <v>#N/A</v>
      </c>
      <c r="H245" s="1" t="e">
        <f>INDEX(Data!AA:AA,MATCH($P245,Data!$AL:$AL,0))</f>
        <v>#N/A</v>
      </c>
      <c r="I245" s="1" t="e">
        <f>INDEX(Data!AB:AB,MATCH($P245,Data!$AL:$AL,0))</f>
        <v>#N/A</v>
      </c>
      <c r="J245" s="1" t="e">
        <f>INDEX(Data!V:V,MATCH($P245,Data!$AL:$AL,0))</f>
        <v>#N/A</v>
      </c>
      <c r="K245" s="1" t="e">
        <f>INDEX(Data!W:W,MATCH($P245,Data!$AL:$AL,0))</f>
        <v>#N/A</v>
      </c>
      <c r="L245" s="1" t="e">
        <f>INDEX(Data!X:X,MATCH($P245,Data!$AL:$AL,0))</f>
        <v>#N/A</v>
      </c>
      <c r="M245" s="1" t="e">
        <f>INDEX(Data!AD:AD,MATCH($P245,Data!$AL:$AL,0))</f>
        <v>#N/A</v>
      </c>
      <c r="N245" s="1" t="e">
        <f>INDEX(Data!AF:AF,MATCH($P245,Data!$AL:$AL,0))</f>
        <v>#N/A</v>
      </c>
      <c r="O245" s="1" t="e">
        <f>INDEX(Data!Q:Q,MATCH($P245,Data!$AL:$AL,0))</f>
        <v>#N/A</v>
      </c>
      <c r="P245" s="1"/>
      <c r="Q245" s="4" t="str">
        <f t="shared" si="3"/>
        <v>SPACL</v>
      </c>
    </row>
    <row r="246" spans="1:17" x14ac:dyDescent="0.25">
      <c r="A246" s="3">
        <v>253</v>
      </c>
      <c r="B246" s="218" t="s">
        <v>40</v>
      </c>
      <c r="C246" s="6">
        <f>INDEX(Data!M:M,MATCH(Q246,Data!AM:AM,0))</f>
        <v>0</v>
      </c>
      <c r="D246" s="6">
        <f>INDEX(Data!O:O,MATCH(Q246,Data!AM:AM,0))</f>
        <v>0</v>
      </c>
      <c r="E246" s="2" t="e">
        <f>INDEX(Data!T:T,MATCH($P246,Data!$AL:$AL,0))</f>
        <v>#N/A</v>
      </c>
      <c r="F246" s="2" t="e">
        <f>INDEX(Data!P:P,MATCH($P246,Data!$AL:$AL,0))</f>
        <v>#N/A</v>
      </c>
      <c r="G246" s="2" t="e">
        <f>INDEX(Data!Z:Z,MATCH($P246,Data!$AL:$AL,0))</f>
        <v>#N/A</v>
      </c>
      <c r="H246" s="2" t="e">
        <f>INDEX(Data!AA:AA,MATCH($P246,Data!$AL:$AL,0))</f>
        <v>#N/A</v>
      </c>
      <c r="I246" s="2" t="e">
        <f>INDEX(Data!AB:AB,MATCH($P246,Data!$AL:$AL,0))</f>
        <v>#N/A</v>
      </c>
      <c r="J246" s="2" t="e">
        <f>INDEX(Data!V:V,MATCH($P246,Data!$AL:$AL,0))</f>
        <v>#N/A</v>
      </c>
      <c r="K246" s="2" t="e">
        <f>INDEX(Data!W:W,MATCH($P246,Data!$AL:$AL,0))</f>
        <v>#N/A</v>
      </c>
      <c r="L246" s="2" t="e">
        <f>INDEX(Data!X:X,MATCH($P246,Data!$AL:$AL,0))</f>
        <v>#N/A</v>
      </c>
      <c r="M246" s="2" t="e">
        <f>INDEX(Data!AD:AD,MATCH($P246,Data!$AL:$AL,0))</f>
        <v>#N/A</v>
      </c>
      <c r="N246" s="2" t="e">
        <f>INDEX(Data!AF:AF,MATCH($P246,Data!$AL:$AL,0))</f>
        <v>#N/A</v>
      </c>
      <c r="O246" s="2" t="e">
        <f>INDEX(Data!Q:Q,MATCH($P246,Data!$AL:$AL,0))</f>
        <v>#N/A</v>
      </c>
      <c r="Q246" s="3" t="str">
        <f t="shared" si="3"/>
        <v>NCL</v>
      </c>
    </row>
    <row r="247" spans="1:17" x14ac:dyDescent="0.25">
      <c r="A247" s="3">
        <v>254</v>
      </c>
      <c r="B247" s="216" t="s">
        <v>41</v>
      </c>
      <c r="C247" s="7">
        <f>INDEX(Data!M:M,MATCH(Q247,Data!AM:AM,0))</f>
        <v>0</v>
      </c>
      <c r="D247" s="7">
        <f>INDEX(Data!O:O,MATCH(Q247,Data!AM:AM,0))</f>
        <v>0</v>
      </c>
      <c r="E247" t="e">
        <f>INDEX(Data!T:T,MATCH($P247,Data!$AL:$AL,0))</f>
        <v>#N/A</v>
      </c>
      <c r="F247" t="e">
        <f>INDEX(Data!P:P,MATCH($P247,Data!$AL:$AL,0))</f>
        <v>#N/A</v>
      </c>
      <c r="G247" t="e">
        <f>INDEX(Data!Z:Z,MATCH($P247,Data!$AL:$AL,0))</f>
        <v>#N/A</v>
      </c>
      <c r="H247" t="e">
        <f>INDEX(Data!AA:AA,MATCH($P247,Data!$AL:$AL,0))</f>
        <v>#N/A</v>
      </c>
      <c r="I247" t="e">
        <f>INDEX(Data!AB:AB,MATCH($P247,Data!$AL:$AL,0))</f>
        <v>#N/A</v>
      </c>
      <c r="J247" t="e">
        <f>INDEX(Data!V:V,MATCH($P247,Data!$AL:$AL,0))</f>
        <v>#N/A</v>
      </c>
      <c r="K247" t="e">
        <f>INDEX(Data!W:W,MATCH($P247,Data!$AL:$AL,0))</f>
        <v>#N/A</v>
      </c>
      <c r="L247" t="e">
        <f>INDEX(Data!X:X,MATCH($P247,Data!$AL:$AL,0))</f>
        <v>#N/A</v>
      </c>
      <c r="M247" t="e">
        <f>INDEX(Data!AD:AD,MATCH($P247,Data!$AL:$AL,0))</f>
        <v>#N/A</v>
      </c>
      <c r="N247" t="e">
        <f>INDEX(Data!AF:AF,MATCH($P247,Data!$AL:$AL,0))</f>
        <v>#N/A</v>
      </c>
      <c r="O247" t="e">
        <f>INDEX(Data!Q:Q,MATCH($P247,Data!$AL:$AL,0))</f>
        <v>#N/A</v>
      </c>
      <c r="Q247" s="3" t="str">
        <f t="shared" si="3"/>
        <v>CL</v>
      </c>
    </row>
    <row r="248" spans="1:17" x14ac:dyDescent="0.25">
      <c r="A248" s="3">
        <v>255</v>
      </c>
      <c r="B248" s="216" t="s">
        <v>42</v>
      </c>
      <c r="C248" s="7">
        <f>INDEX(Data!M:M,MATCH(Q248,Data!AM:AM,0))</f>
        <v>0</v>
      </c>
      <c r="D248" s="7">
        <f>INDEX(Data!O:O,MATCH(Q248,Data!AM:AM,0))</f>
        <v>0</v>
      </c>
      <c r="E248" t="e">
        <f>INDEX(Data!T:T,MATCH($P248,Data!$AL:$AL,0))</f>
        <v>#N/A</v>
      </c>
      <c r="F248" t="e">
        <f>INDEX(Data!P:P,MATCH($P248,Data!$AL:$AL,0))</f>
        <v>#N/A</v>
      </c>
      <c r="G248" t="e">
        <f>INDEX(Data!Z:Z,MATCH($P248,Data!$AL:$AL,0))</f>
        <v>#N/A</v>
      </c>
      <c r="H248" t="e">
        <f>INDEX(Data!AA:AA,MATCH($P248,Data!$AL:$AL,0))</f>
        <v>#N/A</v>
      </c>
      <c r="I248" t="e">
        <f>INDEX(Data!AB:AB,MATCH($P248,Data!$AL:$AL,0))</f>
        <v>#N/A</v>
      </c>
      <c r="J248" t="e">
        <f>INDEX(Data!V:V,MATCH($P248,Data!$AL:$AL,0))</f>
        <v>#N/A</v>
      </c>
      <c r="K248" t="e">
        <f>INDEX(Data!W:W,MATCH($P248,Data!$AL:$AL,0))</f>
        <v>#N/A</v>
      </c>
      <c r="L248" t="e">
        <f>INDEX(Data!X:X,MATCH($P248,Data!$AL:$AL,0))</f>
        <v>#N/A</v>
      </c>
      <c r="M248" t="e">
        <f>INDEX(Data!AD:AD,MATCH($P248,Data!$AL:$AL,0))</f>
        <v>#N/A</v>
      </c>
      <c r="N248" t="e">
        <f>INDEX(Data!AF:AF,MATCH($P248,Data!$AL:$AL,0))</f>
        <v>#N/A</v>
      </c>
      <c r="O248" t="e">
        <f>INDEX(Data!Q:Q,MATCH($P248,Data!$AL:$AL,0))</f>
        <v>#N/A</v>
      </c>
      <c r="Q248" s="3" t="str">
        <f t="shared" si="3"/>
        <v>ACL</v>
      </c>
    </row>
    <row r="249" spans="1:17" x14ac:dyDescent="0.25">
      <c r="A249" s="3">
        <v>256</v>
      </c>
      <c r="B249" s="216" t="s">
        <v>43</v>
      </c>
      <c r="C249" s="7">
        <f>INDEX(Data!M:M,MATCH(Q249,Data!AM:AM,0))</f>
        <v>0</v>
      </c>
      <c r="D249" s="7">
        <f>INDEX(Data!O:O,MATCH(Q249,Data!AM:AM,0))</f>
        <v>0</v>
      </c>
      <c r="E249" t="e">
        <f>INDEX(Data!T:T,MATCH($P249,Data!$AL:$AL,0))</f>
        <v>#N/A</v>
      </c>
      <c r="F249" t="e">
        <f>INDEX(Data!P:P,MATCH($P249,Data!$AL:$AL,0))</f>
        <v>#N/A</v>
      </c>
      <c r="G249" t="e">
        <f>INDEX(Data!Z:Z,MATCH($P249,Data!$AL:$AL,0))</f>
        <v>#N/A</v>
      </c>
      <c r="H249" t="e">
        <f>INDEX(Data!AA:AA,MATCH($P249,Data!$AL:$AL,0))</f>
        <v>#N/A</v>
      </c>
      <c r="I249" t="e">
        <f>INDEX(Data!AB:AB,MATCH($P249,Data!$AL:$AL,0))</f>
        <v>#N/A</v>
      </c>
      <c r="J249" t="e">
        <f>INDEX(Data!V:V,MATCH($P249,Data!$AL:$AL,0))</f>
        <v>#N/A</v>
      </c>
      <c r="K249" t="e">
        <f>INDEX(Data!W:W,MATCH($P249,Data!$AL:$AL,0))</f>
        <v>#N/A</v>
      </c>
      <c r="L249" t="e">
        <f>INDEX(Data!X:X,MATCH($P249,Data!$AL:$AL,0))</f>
        <v>#N/A</v>
      </c>
      <c r="M249" t="e">
        <f>INDEX(Data!AD:AD,MATCH($P249,Data!$AL:$AL,0))</f>
        <v>#N/A</v>
      </c>
      <c r="N249" t="e">
        <f>INDEX(Data!AF:AF,MATCH($P249,Data!$AL:$AL,0))</f>
        <v>#N/A</v>
      </c>
      <c r="O249" t="e">
        <f>INDEX(Data!Q:Q,MATCH($P249,Data!$AL:$AL,0))</f>
        <v>#N/A</v>
      </c>
      <c r="Q249" s="3" t="str">
        <f t="shared" si="3"/>
        <v>SPCL</v>
      </c>
    </row>
    <row r="250" spans="1:17" x14ac:dyDescent="0.25">
      <c r="A250" s="4">
        <v>257</v>
      </c>
      <c r="B250" s="217" t="s">
        <v>44</v>
      </c>
      <c r="C250" s="8">
        <f>INDEX(Data!M:M,MATCH(Q250,Data!AM:AM,0))</f>
        <v>0</v>
      </c>
      <c r="D250" s="8">
        <f>INDEX(Data!O:O,MATCH(Q250,Data!AM:AM,0))</f>
        <v>0</v>
      </c>
      <c r="E250" s="1" t="e">
        <f>INDEX(Data!T:T,MATCH($P250,Data!$AL:$AL,0))</f>
        <v>#N/A</v>
      </c>
      <c r="F250" s="1" t="e">
        <f>INDEX(Data!P:P,MATCH($P250,Data!$AL:$AL,0))</f>
        <v>#N/A</v>
      </c>
      <c r="G250" s="1" t="e">
        <f>INDEX(Data!Z:Z,MATCH($P250,Data!$AL:$AL,0))</f>
        <v>#N/A</v>
      </c>
      <c r="H250" s="1" t="e">
        <f>INDEX(Data!AA:AA,MATCH($P250,Data!$AL:$AL,0))</f>
        <v>#N/A</v>
      </c>
      <c r="I250" s="1" t="e">
        <f>INDEX(Data!AB:AB,MATCH($P250,Data!$AL:$AL,0))</f>
        <v>#N/A</v>
      </c>
      <c r="J250" s="1" t="e">
        <f>INDEX(Data!V:V,MATCH($P250,Data!$AL:$AL,0))</f>
        <v>#N/A</v>
      </c>
      <c r="K250" s="1" t="e">
        <f>INDEX(Data!W:W,MATCH($P250,Data!$AL:$AL,0))</f>
        <v>#N/A</v>
      </c>
      <c r="L250" s="1" t="e">
        <f>INDEX(Data!X:X,MATCH($P250,Data!$AL:$AL,0))</f>
        <v>#N/A</v>
      </c>
      <c r="M250" s="1" t="e">
        <f>INDEX(Data!AD:AD,MATCH($P250,Data!$AL:$AL,0))</f>
        <v>#N/A</v>
      </c>
      <c r="N250" s="1" t="e">
        <f>INDEX(Data!AF:AF,MATCH($P250,Data!$AL:$AL,0))</f>
        <v>#N/A</v>
      </c>
      <c r="O250" s="1" t="e">
        <f>INDEX(Data!Q:Q,MATCH($P250,Data!$AL:$AL,0))</f>
        <v>#N/A</v>
      </c>
      <c r="P250" s="1"/>
      <c r="Q250" s="4" t="str">
        <f t="shared" ref="Q250:Q313" si="4">_xlfn.CONCAT(B250,P250)</f>
        <v>SPACL</v>
      </c>
    </row>
    <row r="251" spans="1:17" x14ac:dyDescent="0.25">
      <c r="A251" s="3">
        <v>258</v>
      </c>
      <c r="B251" s="218" t="s">
        <v>40</v>
      </c>
      <c r="C251" s="6">
        <f>INDEX(Data!M:M,MATCH(Q251,Data!AM:AM,0))</f>
        <v>0</v>
      </c>
      <c r="D251" s="6">
        <f>INDEX(Data!O:O,MATCH(Q251,Data!AM:AM,0))</f>
        <v>0</v>
      </c>
      <c r="E251" s="2" t="e">
        <f>INDEX(Data!T:T,MATCH($P251,Data!$AL:$AL,0))</f>
        <v>#N/A</v>
      </c>
      <c r="F251" s="2" t="e">
        <f>INDEX(Data!P:P,MATCH($P251,Data!$AL:$AL,0))</f>
        <v>#N/A</v>
      </c>
      <c r="G251" s="2" t="e">
        <f>INDEX(Data!Z:Z,MATCH($P251,Data!$AL:$AL,0))</f>
        <v>#N/A</v>
      </c>
      <c r="H251" s="2" t="e">
        <f>INDEX(Data!AA:AA,MATCH($P251,Data!$AL:$AL,0))</f>
        <v>#N/A</v>
      </c>
      <c r="I251" s="2" t="e">
        <f>INDEX(Data!AB:AB,MATCH($P251,Data!$AL:$AL,0))</f>
        <v>#N/A</v>
      </c>
      <c r="J251" s="2" t="e">
        <f>INDEX(Data!V:V,MATCH($P251,Data!$AL:$AL,0))</f>
        <v>#N/A</v>
      </c>
      <c r="K251" s="2" t="e">
        <f>INDEX(Data!W:W,MATCH($P251,Data!$AL:$AL,0))</f>
        <v>#N/A</v>
      </c>
      <c r="L251" s="2" t="e">
        <f>INDEX(Data!X:X,MATCH($P251,Data!$AL:$AL,0))</f>
        <v>#N/A</v>
      </c>
      <c r="M251" s="2" t="e">
        <f>INDEX(Data!AD:AD,MATCH($P251,Data!$AL:$AL,0))</f>
        <v>#N/A</v>
      </c>
      <c r="N251" s="2" t="e">
        <f>INDEX(Data!AF:AF,MATCH($P251,Data!$AL:$AL,0))</f>
        <v>#N/A</v>
      </c>
      <c r="O251" s="2" t="e">
        <f>INDEX(Data!Q:Q,MATCH($P251,Data!$AL:$AL,0))</f>
        <v>#N/A</v>
      </c>
      <c r="Q251" s="3" t="str">
        <f t="shared" si="4"/>
        <v>NCL</v>
      </c>
    </row>
    <row r="252" spans="1:17" x14ac:dyDescent="0.25">
      <c r="A252" s="3">
        <v>259</v>
      </c>
      <c r="B252" s="216" t="s">
        <v>41</v>
      </c>
      <c r="C252" s="7">
        <f>INDEX(Data!M:M,MATCH(Q252,Data!AM:AM,0))</f>
        <v>0</v>
      </c>
      <c r="D252" s="7">
        <f>INDEX(Data!O:O,MATCH(Q252,Data!AM:AM,0))</f>
        <v>0</v>
      </c>
      <c r="E252" t="e">
        <f>INDEX(Data!T:T,MATCH($P252,Data!$AL:$AL,0))</f>
        <v>#N/A</v>
      </c>
      <c r="F252" t="e">
        <f>INDEX(Data!P:P,MATCH($P252,Data!$AL:$AL,0))</f>
        <v>#N/A</v>
      </c>
      <c r="G252" t="e">
        <f>INDEX(Data!Z:Z,MATCH($P252,Data!$AL:$AL,0))</f>
        <v>#N/A</v>
      </c>
      <c r="H252" t="e">
        <f>INDEX(Data!AA:AA,MATCH($P252,Data!$AL:$AL,0))</f>
        <v>#N/A</v>
      </c>
      <c r="I252" t="e">
        <f>INDEX(Data!AB:AB,MATCH($P252,Data!$AL:$AL,0))</f>
        <v>#N/A</v>
      </c>
      <c r="J252" t="e">
        <f>INDEX(Data!V:V,MATCH($P252,Data!$AL:$AL,0))</f>
        <v>#N/A</v>
      </c>
      <c r="K252" t="e">
        <f>INDEX(Data!W:W,MATCH($P252,Data!$AL:$AL,0))</f>
        <v>#N/A</v>
      </c>
      <c r="L252" t="e">
        <f>INDEX(Data!X:X,MATCH($P252,Data!$AL:$AL,0))</f>
        <v>#N/A</v>
      </c>
      <c r="M252" t="e">
        <f>INDEX(Data!AD:AD,MATCH($P252,Data!$AL:$AL,0))</f>
        <v>#N/A</v>
      </c>
      <c r="N252" t="e">
        <f>INDEX(Data!AF:AF,MATCH($P252,Data!$AL:$AL,0))</f>
        <v>#N/A</v>
      </c>
      <c r="O252" t="e">
        <f>INDEX(Data!Q:Q,MATCH($P252,Data!$AL:$AL,0))</f>
        <v>#N/A</v>
      </c>
      <c r="Q252" s="3" t="str">
        <f t="shared" si="4"/>
        <v>CL</v>
      </c>
    </row>
    <row r="253" spans="1:17" x14ac:dyDescent="0.25">
      <c r="A253" s="3">
        <v>260</v>
      </c>
      <c r="B253" s="216" t="s">
        <v>42</v>
      </c>
      <c r="C253" s="7">
        <f>INDEX(Data!M:M,MATCH(Q253,Data!AM:AM,0))</f>
        <v>0</v>
      </c>
      <c r="D253" s="7">
        <f>INDEX(Data!O:O,MATCH(Q253,Data!AM:AM,0))</f>
        <v>0</v>
      </c>
      <c r="E253" t="e">
        <f>INDEX(Data!T:T,MATCH($P253,Data!$AL:$AL,0))</f>
        <v>#N/A</v>
      </c>
      <c r="F253" t="e">
        <f>INDEX(Data!P:P,MATCH($P253,Data!$AL:$AL,0))</f>
        <v>#N/A</v>
      </c>
      <c r="G253" t="e">
        <f>INDEX(Data!Z:Z,MATCH($P253,Data!$AL:$AL,0))</f>
        <v>#N/A</v>
      </c>
      <c r="H253" t="e">
        <f>INDEX(Data!AA:AA,MATCH($P253,Data!$AL:$AL,0))</f>
        <v>#N/A</v>
      </c>
      <c r="I253" t="e">
        <f>INDEX(Data!AB:AB,MATCH($P253,Data!$AL:$AL,0))</f>
        <v>#N/A</v>
      </c>
      <c r="J253" t="e">
        <f>INDEX(Data!V:V,MATCH($P253,Data!$AL:$AL,0))</f>
        <v>#N/A</v>
      </c>
      <c r="K253" t="e">
        <f>INDEX(Data!W:W,MATCH($P253,Data!$AL:$AL,0))</f>
        <v>#N/A</v>
      </c>
      <c r="L253" t="e">
        <f>INDEX(Data!X:X,MATCH($P253,Data!$AL:$AL,0))</f>
        <v>#N/A</v>
      </c>
      <c r="M253" t="e">
        <f>INDEX(Data!AD:AD,MATCH($P253,Data!$AL:$AL,0))</f>
        <v>#N/A</v>
      </c>
      <c r="N253" t="e">
        <f>INDEX(Data!AF:AF,MATCH($P253,Data!$AL:$AL,0))</f>
        <v>#N/A</v>
      </c>
      <c r="O253" t="e">
        <f>INDEX(Data!Q:Q,MATCH($P253,Data!$AL:$AL,0))</f>
        <v>#N/A</v>
      </c>
      <c r="Q253" s="3" t="str">
        <f t="shared" si="4"/>
        <v>ACL</v>
      </c>
    </row>
    <row r="254" spans="1:17" x14ac:dyDescent="0.25">
      <c r="A254" s="3">
        <v>261</v>
      </c>
      <c r="B254" s="216" t="s">
        <v>43</v>
      </c>
      <c r="C254" s="7">
        <f>INDEX(Data!M:M,MATCH(Q254,Data!AM:AM,0))</f>
        <v>0</v>
      </c>
      <c r="D254" s="7">
        <f>INDEX(Data!O:O,MATCH(Q254,Data!AM:AM,0))</f>
        <v>0</v>
      </c>
      <c r="E254" t="e">
        <f>INDEX(Data!T:T,MATCH($P254,Data!$AL:$AL,0))</f>
        <v>#N/A</v>
      </c>
      <c r="F254" t="e">
        <f>INDEX(Data!P:P,MATCH($P254,Data!$AL:$AL,0))</f>
        <v>#N/A</v>
      </c>
      <c r="G254" t="e">
        <f>INDEX(Data!Z:Z,MATCH($P254,Data!$AL:$AL,0))</f>
        <v>#N/A</v>
      </c>
      <c r="H254" t="e">
        <f>INDEX(Data!AA:AA,MATCH($P254,Data!$AL:$AL,0))</f>
        <v>#N/A</v>
      </c>
      <c r="I254" t="e">
        <f>INDEX(Data!AB:AB,MATCH($P254,Data!$AL:$AL,0))</f>
        <v>#N/A</v>
      </c>
      <c r="J254" t="e">
        <f>INDEX(Data!V:V,MATCH($P254,Data!$AL:$AL,0))</f>
        <v>#N/A</v>
      </c>
      <c r="K254" t="e">
        <f>INDEX(Data!W:W,MATCH($P254,Data!$AL:$AL,0))</f>
        <v>#N/A</v>
      </c>
      <c r="L254" t="e">
        <f>INDEX(Data!X:X,MATCH($P254,Data!$AL:$AL,0))</f>
        <v>#N/A</v>
      </c>
      <c r="M254" t="e">
        <f>INDEX(Data!AD:AD,MATCH($P254,Data!$AL:$AL,0))</f>
        <v>#N/A</v>
      </c>
      <c r="N254" t="e">
        <f>INDEX(Data!AF:AF,MATCH($P254,Data!$AL:$AL,0))</f>
        <v>#N/A</v>
      </c>
      <c r="O254" t="e">
        <f>INDEX(Data!Q:Q,MATCH($P254,Data!$AL:$AL,0))</f>
        <v>#N/A</v>
      </c>
      <c r="Q254" s="3" t="str">
        <f t="shared" si="4"/>
        <v>SPCL</v>
      </c>
    </row>
    <row r="255" spans="1:17" x14ac:dyDescent="0.25">
      <c r="A255" s="4">
        <v>262</v>
      </c>
      <c r="B255" s="217" t="s">
        <v>44</v>
      </c>
      <c r="C255" s="8">
        <f>INDEX(Data!M:M,MATCH(Q255,Data!AM:AM,0))</f>
        <v>0</v>
      </c>
      <c r="D255" s="8">
        <f>INDEX(Data!O:O,MATCH(Q255,Data!AM:AM,0))</f>
        <v>0</v>
      </c>
      <c r="E255" s="1" t="e">
        <f>INDEX(Data!T:T,MATCH($P255,Data!$AL:$AL,0))</f>
        <v>#N/A</v>
      </c>
      <c r="F255" s="1" t="e">
        <f>INDEX(Data!P:P,MATCH($P255,Data!$AL:$AL,0))</f>
        <v>#N/A</v>
      </c>
      <c r="G255" s="1" t="e">
        <f>INDEX(Data!Z:Z,MATCH($P255,Data!$AL:$AL,0))</f>
        <v>#N/A</v>
      </c>
      <c r="H255" s="1" t="e">
        <f>INDEX(Data!AA:AA,MATCH($P255,Data!$AL:$AL,0))</f>
        <v>#N/A</v>
      </c>
      <c r="I255" s="1" t="e">
        <f>INDEX(Data!AB:AB,MATCH($P255,Data!$AL:$AL,0))</f>
        <v>#N/A</v>
      </c>
      <c r="J255" s="1" t="e">
        <f>INDEX(Data!V:V,MATCH($P255,Data!$AL:$AL,0))</f>
        <v>#N/A</v>
      </c>
      <c r="K255" s="1" t="e">
        <f>INDEX(Data!W:W,MATCH($P255,Data!$AL:$AL,0))</f>
        <v>#N/A</v>
      </c>
      <c r="L255" s="1" t="e">
        <f>INDEX(Data!X:X,MATCH($P255,Data!$AL:$AL,0))</f>
        <v>#N/A</v>
      </c>
      <c r="M255" s="1" t="e">
        <f>INDEX(Data!AD:AD,MATCH($P255,Data!$AL:$AL,0))</f>
        <v>#N/A</v>
      </c>
      <c r="N255" s="1" t="e">
        <f>INDEX(Data!AF:AF,MATCH($P255,Data!$AL:$AL,0))</f>
        <v>#N/A</v>
      </c>
      <c r="O255" s="1" t="e">
        <f>INDEX(Data!Q:Q,MATCH($P255,Data!$AL:$AL,0))</f>
        <v>#N/A</v>
      </c>
      <c r="P255" s="1"/>
      <c r="Q255" s="4" t="str">
        <f t="shared" si="4"/>
        <v>SPACL</v>
      </c>
    </row>
    <row r="256" spans="1:17" x14ac:dyDescent="0.25">
      <c r="A256" s="3">
        <v>263</v>
      </c>
      <c r="B256" s="218" t="s">
        <v>40</v>
      </c>
      <c r="C256" s="6">
        <f>INDEX(Data!M:M,MATCH(Q256,Data!AM:AM,0))</f>
        <v>0</v>
      </c>
      <c r="D256" s="6">
        <f>INDEX(Data!O:O,MATCH(Q256,Data!AM:AM,0))</f>
        <v>0</v>
      </c>
      <c r="E256" s="2" t="e">
        <f>INDEX(Data!T:T,MATCH($P256,Data!$AL:$AL,0))</f>
        <v>#N/A</v>
      </c>
      <c r="F256" s="2" t="e">
        <f>INDEX(Data!P:P,MATCH($P256,Data!$AL:$AL,0))</f>
        <v>#N/A</v>
      </c>
      <c r="G256" s="2" t="e">
        <f>INDEX(Data!Z:Z,MATCH($P256,Data!$AL:$AL,0))</f>
        <v>#N/A</v>
      </c>
      <c r="H256" s="2" t="e">
        <f>INDEX(Data!AA:AA,MATCH($P256,Data!$AL:$AL,0))</f>
        <v>#N/A</v>
      </c>
      <c r="I256" s="2" t="e">
        <f>INDEX(Data!AB:AB,MATCH($P256,Data!$AL:$AL,0))</f>
        <v>#N/A</v>
      </c>
      <c r="J256" s="2" t="e">
        <f>INDEX(Data!V:V,MATCH($P256,Data!$AL:$AL,0))</f>
        <v>#N/A</v>
      </c>
      <c r="K256" s="2" t="e">
        <f>INDEX(Data!W:W,MATCH($P256,Data!$AL:$AL,0))</f>
        <v>#N/A</v>
      </c>
      <c r="L256" s="2" t="e">
        <f>INDEX(Data!X:X,MATCH($P256,Data!$AL:$AL,0))</f>
        <v>#N/A</v>
      </c>
      <c r="M256" s="2" t="e">
        <f>INDEX(Data!AD:AD,MATCH($P256,Data!$AL:$AL,0))</f>
        <v>#N/A</v>
      </c>
      <c r="N256" s="2" t="e">
        <f>INDEX(Data!AF:AF,MATCH($P256,Data!$AL:$AL,0))</f>
        <v>#N/A</v>
      </c>
      <c r="O256" s="2" t="e">
        <f>INDEX(Data!Q:Q,MATCH($P256,Data!$AL:$AL,0))</f>
        <v>#N/A</v>
      </c>
      <c r="Q256" s="3" t="str">
        <f t="shared" si="4"/>
        <v>NCL</v>
      </c>
    </row>
    <row r="257" spans="1:17" x14ac:dyDescent="0.25">
      <c r="A257" s="3">
        <v>264</v>
      </c>
      <c r="B257" s="216" t="s">
        <v>41</v>
      </c>
      <c r="C257" s="7">
        <f>INDEX(Data!M:M,MATCH(Q257,Data!AM:AM,0))</f>
        <v>0</v>
      </c>
      <c r="D257" s="7">
        <f>INDEX(Data!O:O,MATCH(Q257,Data!AM:AM,0))</f>
        <v>0</v>
      </c>
      <c r="E257" t="e">
        <f>INDEX(Data!T:T,MATCH($P257,Data!$AL:$AL,0))</f>
        <v>#N/A</v>
      </c>
      <c r="F257" t="e">
        <f>INDEX(Data!P:P,MATCH($P257,Data!$AL:$AL,0))</f>
        <v>#N/A</v>
      </c>
      <c r="G257" t="e">
        <f>INDEX(Data!Z:Z,MATCH($P257,Data!$AL:$AL,0))</f>
        <v>#N/A</v>
      </c>
      <c r="H257" t="e">
        <f>INDEX(Data!AA:AA,MATCH($P257,Data!$AL:$AL,0))</f>
        <v>#N/A</v>
      </c>
      <c r="I257" t="e">
        <f>INDEX(Data!AB:AB,MATCH($P257,Data!$AL:$AL,0))</f>
        <v>#N/A</v>
      </c>
      <c r="J257" t="e">
        <f>INDEX(Data!V:V,MATCH($P257,Data!$AL:$AL,0))</f>
        <v>#N/A</v>
      </c>
      <c r="K257" t="e">
        <f>INDEX(Data!W:W,MATCH($P257,Data!$AL:$AL,0))</f>
        <v>#N/A</v>
      </c>
      <c r="L257" t="e">
        <f>INDEX(Data!X:X,MATCH($P257,Data!$AL:$AL,0))</f>
        <v>#N/A</v>
      </c>
      <c r="M257" t="e">
        <f>INDEX(Data!AD:AD,MATCH($P257,Data!$AL:$AL,0))</f>
        <v>#N/A</v>
      </c>
      <c r="N257" t="e">
        <f>INDEX(Data!AF:AF,MATCH($P257,Data!$AL:$AL,0))</f>
        <v>#N/A</v>
      </c>
      <c r="O257" t="e">
        <f>INDEX(Data!Q:Q,MATCH($P257,Data!$AL:$AL,0))</f>
        <v>#N/A</v>
      </c>
      <c r="Q257" s="3" t="str">
        <f t="shared" si="4"/>
        <v>CL</v>
      </c>
    </row>
    <row r="258" spans="1:17" x14ac:dyDescent="0.25">
      <c r="A258" s="3">
        <v>265</v>
      </c>
      <c r="B258" s="216" t="s">
        <v>42</v>
      </c>
      <c r="C258" s="7">
        <f>INDEX(Data!M:M,MATCH(Q258,Data!AM:AM,0))</f>
        <v>0</v>
      </c>
      <c r="D258" s="7">
        <f>INDEX(Data!O:O,MATCH(Q258,Data!AM:AM,0))</f>
        <v>0</v>
      </c>
      <c r="E258" t="e">
        <f>INDEX(Data!T:T,MATCH($P258,Data!$AL:$AL,0))</f>
        <v>#N/A</v>
      </c>
      <c r="F258" t="e">
        <f>INDEX(Data!P:P,MATCH($P258,Data!$AL:$AL,0))</f>
        <v>#N/A</v>
      </c>
      <c r="G258" t="e">
        <f>INDEX(Data!Z:Z,MATCH($P258,Data!$AL:$AL,0))</f>
        <v>#N/A</v>
      </c>
      <c r="H258" t="e">
        <f>INDEX(Data!AA:AA,MATCH($P258,Data!$AL:$AL,0))</f>
        <v>#N/A</v>
      </c>
      <c r="I258" t="e">
        <f>INDEX(Data!AB:AB,MATCH($P258,Data!$AL:$AL,0))</f>
        <v>#N/A</v>
      </c>
      <c r="J258" t="e">
        <f>INDEX(Data!V:V,MATCH($P258,Data!$AL:$AL,0))</f>
        <v>#N/A</v>
      </c>
      <c r="K258" t="e">
        <f>INDEX(Data!W:W,MATCH($P258,Data!$AL:$AL,0))</f>
        <v>#N/A</v>
      </c>
      <c r="L258" t="e">
        <f>INDEX(Data!X:X,MATCH($P258,Data!$AL:$AL,0))</f>
        <v>#N/A</v>
      </c>
      <c r="M258" t="e">
        <f>INDEX(Data!AD:AD,MATCH($P258,Data!$AL:$AL,0))</f>
        <v>#N/A</v>
      </c>
      <c r="N258" t="e">
        <f>INDEX(Data!AF:AF,MATCH($P258,Data!$AL:$AL,0))</f>
        <v>#N/A</v>
      </c>
      <c r="O258" t="e">
        <f>INDEX(Data!Q:Q,MATCH($P258,Data!$AL:$AL,0))</f>
        <v>#N/A</v>
      </c>
      <c r="Q258" s="3" t="str">
        <f t="shared" si="4"/>
        <v>ACL</v>
      </c>
    </row>
    <row r="259" spans="1:17" x14ac:dyDescent="0.25">
      <c r="A259" s="3">
        <v>266</v>
      </c>
      <c r="B259" s="216" t="s">
        <v>43</v>
      </c>
      <c r="C259" s="7">
        <f>INDEX(Data!M:M,MATCH(Q259,Data!AM:AM,0))</f>
        <v>0</v>
      </c>
      <c r="D259" s="7">
        <f>INDEX(Data!O:O,MATCH(Q259,Data!AM:AM,0))</f>
        <v>0</v>
      </c>
      <c r="E259" t="e">
        <f>INDEX(Data!T:T,MATCH($P259,Data!$AL:$AL,0))</f>
        <v>#N/A</v>
      </c>
      <c r="F259" t="e">
        <f>INDEX(Data!P:P,MATCH($P259,Data!$AL:$AL,0))</f>
        <v>#N/A</v>
      </c>
      <c r="G259" t="e">
        <f>INDEX(Data!Z:Z,MATCH($P259,Data!$AL:$AL,0))</f>
        <v>#N/A</v>
      </c>
      <c r="H259" t="e">
        <f>INDEX(Data!AA:AA,MATCH($P259,Data!$AL:$AL,0))</f>
        <v>#N/A</v>
      </c>
      <c r="I259" t="e">
        <f>INDEX(Data!AB:AB,MATCH($P259,Data!$AL:$AL,0))</f>
        <v>#N/A</v>
      </c>
      <c r="J259" t="e">
        <f>INDEX(Data!V:V,MATCH($P259,Data!$AL:$AL,0))</f>
        <v>#N/A</v>
      </c>
      <c r="K259" t="e">
        <f>INDEX(Data!W:W,MATCH($P259,Data!$AL:$AL,0))</f>
        <v>#N/A</v>
      </c>
      <c r="L259" t="e">
        <f>INDEX(Data!X:X,MATCH($P259,Data!$AL:$AL,0))</f>
        <v>#N/A</v>
      </c>
      <c r="M259" t="e">
        <f>INDEX(Data!AD:AD,MATCH($P259,Data!$AL:$AL,0))</f>
        <v>#N/A</v>
      </c>
      <c r="N259" t="e">
        <f>INDEX(Data!AF:AF,MATCH($P259,Data!$AL:$AL,0))</f>
        <v>#N/A</v>
      </c>
      <c r="O259" t="e">
        <f>INDEX(Data!Q:Q,MATCH($P259,Data!$AL:$AL,0))</f>
        <v>#N/A</v>
      </c>
      <c r="Q259" s="3" t="str">
        <f t="shared" si="4"/>
        <v>SPCL</v>
      </c>
    </row>
    <row r="260" spans="1:17" x14ac:dyDescent="0.25">
      <c r="A260" s="4">
        <v>267</v>
      </c>
      <c r="B260" s="217" t="s">
        <v>44</v>
      </c>
      <c r="C260" s="8">
        <f>INDEX(Data!M:M,MATCH(Q260,Data!AM:AM,0))</f>
        <v>0</v>
      </c>
      <c r="D260" s="8">
        <f>INDEX(Data!O:O,MATCH(Q260,Data!AM:AM,0))</f>
        <v>0</v>
      </c>
      <c r="E260" s="1" t="e">
        <f>INDEX(Data!T:T,MATCH($P260,Data!$AL:$AL,0))</f>
        <v>#N/A</v>
      </c>
      <c r="F260" s="1" t="e">
        <f>INDEX(Data!P:P,MATCH($P260,Data!$AL:$AL,0))</f>
        <v>#N/A</v>
      </c>
      <c r="G260" s="1" t="e">
        <f>INDEX(Data!Z:Z,MATCH($P260,Data!$AL:$AL,0))</f>
        <v>#N/A</v>
      </c>
      <c r="H260" s="1" t="e">
        <f>INDEX(Data!AA:AA,MATCH($P260,Data!$AL:$AL,0))</f>
        <v>#N/A</v>
      </c>
      <c r="I260" s="1" t="e">
        <f>INDEX(Data!AB:AB,MATCH($P260,Data!$AL:$AL,0))</f>
        <v>#N/A</v>
      </c>
      <c r="J260" s="1" t="e">
        <f>INDEX(Data!V:V,MATCH($P260,Data!$AL:$AL,0))</f>
        <v>#N/A</v>
      </c>
      <c r="K260" s="1" t="e">
        <f>INDEX(Data!W:W,MATCH($P260,Data!$AL:$AL,0))</f>
        <v>#N/A</v>
      </c>
      <c r="L260" s="1" t="e">
        <f>INDEX(Data!X:X,MATCH($P260,Data!$AL:$AL,0))</f>
        <v>#N/A</v>
      </c>
      <c r="M260" s="1" t="e">
        <f>INDEX(Data!AD:AD,MATCH($P260,Data!$AL:$AL,0))</f>
        <v>#N/A</v>
      </c>
      <c r="N260" s="1" t="e">
        <f>INDEX(Data!AF:AF,MATCH($P260,Data!$AL:$AL,0))</f>
        <v>#N/A</v>
      </c>
      <c r="O260" s="1" t="e">
        <f>INDEX(Data!Q:Q,MATCH($P260,Data!$AL:$AL,0))</f>
        <v>#N/A</v>
      </c>
      <c r="P260" s="1"/>
      <c r="Q260" s="4" t="str">
        <f t="shared" si="4"/>
        <v>SPACL</v>
      </c>
    </row>
    <row r="261" spans="1:17" x14ac:dyDescent="0.25">
      <c r="A261" s="3">
        <v>268</v>
      </c>
      <c r="B261" s="218" t="s">
        <v>40</v>
      </c>
      <c r="C261" s="6">
        <f>INDEX(Data!M:M,MATCH(Q261,Data!AM:AM,0))</f>
        <v>0</v>
      </c>
      <c r="D261" s="6">
        <f>INDEX(Data!O:O,MATCH(Q261,Data!AM:AM,0))</f>
        <v>0</v>
      </c>
      <c r="E261" s="2" t="e">
        <f>INDEX(Data!T:T,MATCH($P261,Data!$AL:$AL,0))</f>
        <v>#N/A</v>
      </c>
      <c r="F261" s="2" t="e">
        <f>INDEX(Data!P:P,MATCH($P261,Data!$AL:$AL,0))</f>
        <v>#N/A</v>
      </c>
      <c r="G261" s="2" t="e">
        <f>INDEX(Data!Z:Z,MATCH($P261,Data!$AL:$AL,0))</f>
        <v>#N/A</v>
      </c>
      <c r="H261" s="2" t="e">
        <f>INDEX(Data!AA:AA,MATCH($P261,Data!$AL:$AL,0))</f>
        <v>#N/A</v>
      </c>
      <c r="I261" s="2" t="e">
        <f>INDEX(Data!AB:AB,MATCH($P261,Data!$AL:$AL,0))</f>
        <v>#N/A</v>
      </c>
      <c r="J261" s="2" t="e">
        <f>INDEX(Data!V:V,MATCH($P261,Data!$AL:$AL,0))</f>
        <v>#N/A</v>
      </c>
      <c r="K261" s="2" t="e">
        <f>INDEX(Data!W:W,MATCH($P261,Data!$AL:$AL,0))</f>
        <v>#N/A</v>
      </c>
      <c r="L261" s="2" t="e">
        <f>INDEX(Data!X:X,MATCH($P261,Data!$AL:$AL,0))</f>
        <v>#N/A</v>
      </c>
      <c r="M261" s="2" t="e">
        <f>INDEX(Data!AD:AD,MATCH($P261,Data!$AL:$AL,0))</f>
        <v>#N/A</v>
      </c>
      <c r="N261" s="2" t="e">
        <f>INDEX(Data!AF:AF,MATCH($P261,Data!$AL:$AL,0))</f>
        <v>#N/A</v>
      </c>
      <c r="O261" s="2" t="e">
        <f>INDEX(Data!Q:Q,MATCH($P261,Data!$AL:$AL,0))</f>
        <v>#N/A</v>
      </c>
      <c r="Q261" s="3" t="str">
        <f t="shared" si="4"/>
        <v>NCL</v>
      </c>
    </row>
    <row r="262" spans="1:17" x14ac:dyDescent="0.25">
      <c r="A262" s="3">
        <v>269</v>
      </c>
      <c r="B262" s="216" t="s">
        <v>41</v>
      </c>
      <c r="C262" s="7">
        <f>INDEX(Data!M:M,MATCH(Q262,Data!AM:AM,0))</f>
        <v>0</v>
      </c>
      <c r="D262" s="7">
        <f>INDEX(Data!O:O,MATCH(Q262,Data!AM:AM,0))</f>
        <v>0</v>
      </c>
      <c r="E262" t="e">
        <f>INDEX(Data!T:T,MATCH($P262,Data!$AL:$AL,0))</f>
        <v>#N/A</v>
      </c>
      <c r="F262" t="e">
        <f>INDEX(Data!P:P,MATCH($P262,Data!$AL:$AL,0))</f>
        <v>#N/A</v>
      </c>
      <c r="G262" t="e">
        <f>INDEX(Data!Z:Z,MATCH($P262,Data!$AL:$AL,0))</f>
        <v>#N/A</v>
      </c>
      <c r="H262" t="e">
        <f>INDEX(Data!AA:AA,MATCH($P262,Data!$AL:$AL,0))</f>
        <v>#N/A</v>
      </c>
      <c r="I262" t="e">
        <f>INDEX(Data!AB:AB,MATCH($P262,Data!$AL:$AL,0))</f>
        <v>#N/A</v>
      </c>
      <c r="J262" t="e">
        <f>INDEX(Data!V:V,MATCH($P262,Data!$AL:$AL,0))</f>
        <v>#N/A</v>
      </c>
      <c r="K262" t="e">
        <f>INDEX(Data!W:W,MATCH($P262,Data!$AL:$AL,0))</f>
        <v>#N/A</v>
      </c>
      <c r="L262" t="e">
        <f>INDEX(Data!X:X,MATCH($P262,Data!$AL:$AL,0))</f>
        <v>#N/A</v>
      </c>
      <c r="M262" t="e">
        <f>INDEX(Data!AD:AD,MATCH($P262,Data!$AL:$AL,0))</f>
        <v>#N/A</v>
      </c>
      <c r="N262" t="e">
        <f>INDEX(Data!AF:AF,MATCH($P262,Data!$AL:$AL,0))</f>
        <v>#N/A</v>
      </c>
      <c r="O262" t="e">
        <f>INDEX(Data!Q:Q,MATCH($P262,Data!$AL:$AL,0))</f>
        <v>#N/A</v>
      </c>
      <c r="Q262" s="3" t="str">
        <f t="shared" si="4"/>
        <v>CL</v>
      </c>
    </row>
    <row r="263" spans="1:17" x14ac:dyDescent="0.25">
      <c r="A263" s="3">
        <v>270</v>
      </c>
      <c r="B263" s="216" t="s">
        <v>42</v>
      </c>
      <c r="C263" s="7">
        <f>INDEX(Data!M:M,MATCH(Q263,Data!AM:AM,0))</f>
        <v>0</v>
      </c>
      <c r="D263" s="7">
        <f>INDEX(Data!O:O,MATCH(Q263,Data!AM:AM,0))</f>
        <v>0</v>
      </c>
      <c r="E263" t="e">
        <f>INDEX(Data!T:T,MATCH($P263,Data!$AL:$AL,0))</f>
        <v>#N/A</v>
      </c>
      <c r="F263" t="e">
        <f>INDEX(Data!P:P,MATCH($P263,Data!$AL:$AL,0))</f>
        <v>#N/A</v>
      </c>
      <c r="G263" t="e">
        <f>INDEX(Data!Z:Z,MATCH($P263,Data!$AL:$AL,0))</f>
        <v>#N/A</v>
      </c>
      <c r="H263" t="e">
        <f>INDEX(Data!AA:AA,MATCH($P263,Data!$AL:$AL,0))</f>
        <v>#N/A</v>
      </c>
      <c r="I263" t="e">
        <f>INDEX(Data!AB:AB,MATCH($P263,Data!$AL:$AL,0))</f>
        <v>#N/A</v>
      </c>
      <c r="J263" t="e">
        <f>INDEX(Data!V:V,MATCH($P263,Data!$AL:$AL,0))</f>
        <v>#N/A</v>
      </c>
      <c r="K263" t="e">
        <f>INDEX(Data!W:W,MATCH($P263,Data!$AL:$AL,0))</f>
        <v>#N/A</v>
      </c>
      <c r="L263" t="e">
        <f>INDEX(Data!X:X,MATCH($P263,Data!$AL:$AL,0))</f>
        <v>#N/A</v>
      </c>
      <c r="M263" t="e">
        <f>INDEX(Data!AD:AD,MATCH($P263,Data!$AL:$AL,0))</f>
        <v>#N/A</v>
      </c>
      <c r="N263" t="e">
        <f>INDEX(Data!AF:AF,MATCH($P263,Data!$AL:$AL,0))</f>
        <v>#N/A</v>
      </c>
      <c r="O263" t="e">
        <f>INDEX(Data!Q:Q,MATCH($P263,Data!$AL:$AL,0))</f>
        <v>#N/A</v>
      </c>
      <c r="Q263" s="3" t="str">
        <f t="shared" si="4"/>
        <v>ACL</v>
      </c>
    </row>
    <row r="264" spans="1:17" x14ac:dyDescent="0.25">
      <c r="A264" s="3">
        <v>271</v>
      </c>
      <c r="B264" s="216" t="s">
        <v>43</v>
      </c>
      <c r="C264" s="7">
        <f>INDEX(Data!M:M,MATCH(Q264,Data!AM:AM,0))</f>
        <v>0</v>
      </c>
      <c r="D264" s="7">
        <f>INDEX(Data!O:O,MATCH(Q264,Data!AM:AM,0))</f>
        <v>0</v>
      </c>
      <c r="E264" t="e">
        <f>INDEX(Data!T:T,MATCH($P264,Data!$AL:$AL,0))</f>
        <v>#N/A</v>
      </c>
      <c r="F264" t="e">
        <f>INDEX(Data!P:P,MATCH($P264,Data!$AL:$AL,0))</f>
        <v>#N/A</v>
      </c>
      <c r="G264" t="e">
        <f>INDEX(Data!Z:Z,MATCH($P264,Data!$AL:$AL,0))</f>
        <v>#N/A</v>
      </c>
      <c r="H264" t="e">
        <f>INDEX(Data!AA:AA,MATCH($P264,Data!$AL:$AL,0))</f>
        <v>#N/A</v>
      </c>
      <c r="I264" t="e">
        <f>INDEX(Data!AB:AB,MATCH($P264,Data!$AL:$AL,0))</f>
        <v>#N/A</v>
      </c>
      <c r="J264" t="e">
        <f>INDEX(Data!V:V,MATCH($P264,Data!$AL:$AL,0))</f>
        <v>#N/A</v>
      </c>
      <c r="K264" t="e">
        <f>INDEX(Data!W:W,MATCH($P264,Data!$AL:$AL,0))</f>
        <v>#N/A</v>
      </c>
      <c r="L264" t="e">
        <f>INDEX(Data!X:X,MATCH($P264,Data!$AL:$AL,0))</f>
        <v>#N/A</v>
      </c>
      <c r="M264" t="e">
        <f>INDEX(Data!AD:AD,MATCH($P264,Data!$AL:$AL,0))</f>
        <v>#N/A</v>
      </c>
      <c r="N264" t="e">
        <f>INDEX(Data!AF:AF,MATCH($P264,Data!$AL:$AL,0))</f>
        <v>#N/A</v>
      </c>
      <c r="O264" t="e">
        <f>INDEX(Data!Q:Q,MATCH($P264,Data!$AL:$AL,0))</f>
        <v>#N/A</v>
      </c>
      <c r="Q264" s="3" t="str">
        <f t="shared" si="4"/>
        <v>SPCL</v>
      </c>
    </row>
    <row r="265" spans="1:17" x14ac:dyDescent="0.25">
      <c r="A265" s="4">
        <v>272</v>
      </c>
      <c r="B265" s="217" t="s">
        <v>44</v>
      </c>
      <c r="C265" s="8">
        <f>INDEX(Data!M:M,MATCH(Q265,Data!AM:AM,0))</f>
        <v>0</v>
      </c>
      <c r="D265" s="8">
        <f>INDEX(Data!O:O,MATCH(Q265,Data!AM:AM,0))</f>
        <v>0</v>
      </c>
      <c r="E265" s="1" t="e">
        <f>INDEX(Data!T:T,MATCH($P265,Data!$AL:$AL,0))</f>
        <v>#N/A</v>
      </c>
      <c r="F265" s="1" t="e">
        <f>INDEX(Data!P:P,MATCH($P265,Data!$AL:$AL,0))</f>
        <v>#N/A</v>
      </c>
      <c r="G265" s="1" t="e">
        <f>INDEX(Data!Z:Z,MATCH($P265,Data!$AL:$AL,0))</f>
        <v>#N/A</v>
      </c>
      <c r="H265" s="1" t="e">
        <f>INDEX(Data!AA:AA,MATCH($P265,Data!$AL:$AL,0))</f>
        <v>#N/A</v>
      </c>
      <c r="I265" s="1" t="e">
        <f>INDEX(Data!AB:AB,MATCH($P265,Data!$AL:$AL,0))</f>
        <v>#N/A</v>
      </c>
      <c r="J265" s="1" t="e">
        <f>INDEX(Data!V:V,MATCH($P265,Data!$AL:$AL,0))</f>
        <v>#N/A</v>
      </c>
      <c r="K265" s="1" t="e">
        <f>INDEX(Data!W:W,MATCH($P265,Data!$AL:$AL,0))</f>
        <v>#N/A</v>
      </c>
      <c r="L265" s="1" t="e">
        <f>INDEX(Data!X:X,MATCH($P265,Data!$AL:$AL,0))</f>
        <v>#N/A</v>
      </c>
      <c r="M265" s="1" t="e">
        <f>INDEX(Data!AD:AD,MATCH($P265,Data!$AL:$AL,0))</f>
        <v>#N/A</v>
      </c>
      <c r="N265" s="1" t="e">
        <f>INDEX(Data!AF:AF,MATCH($P265,Data!$AL:$AL,0))</f>
        <v>#N/A</v>
      </c>
      <c r="O265" s="1" t="e">
        <f>INDEX(Data!Q:Q,MATCH($P265,Data!$AL:$AL,0))</f>
        <v>#N/A</v>
      </c>
      <c r="P265" s="1"/>
      <c r="Q265" s="4" t="str">
        <f t="shared" si="4"/>
        <v>SPACL</v>
      </c>
    </row>
    <row r="266" spans="1:17" x14ac:dyDescent="0.25">
      <c r="A266" s="3">
        <v>273</v>
      </c>
      <c r="B266" s="218" t="s">
        <v>40</v>
      </c>
      <c r="C266" s="6">
        <f>INDEX(Data!M:M,MATCH(Q266,Data!AM:AM,0))</f>
        <v>0</v>
      </c>
      <c r="D266" s="6">
        <f>INDEX(Data!O:O,MATCH(Q266,Data!AM:AM,0))</f>
        <v>0</v>
      </c>
      <c r="E266" s="2" t="e">
        <f>INDEX(Data!T:T,MATCH($P266,Data!$AL:$AL,0))</f>
        <v>#N/A</v>
      </c>
      <c r="F266" s="2" t="e">
        <f>INDEX(Data!P:P,MATCH($P266,Data!$AL:$AL,0))</f>
        <v>#N/A</v>
      </c>
      <c r="G266" s="2" t="e">
        <f>INDEX(Data!Z:Z,MATCH($P266,Data!$AL:$AL,0))</f>
        <v>#N/A</v>
      </c>
      <c r="H266" s="2" t="e">
        <f>INDEX(Data!AA:AA,MATCH($P266,Data!$AL:$AL,0))</f>
        <v>#N/A</v>
      </c>
      <c r="I266" s="2" t="e">
        <f>INDEX(Data!AB:AB,MATCH($P266,Data!$AL:$AL,0))</f>
        <v>#N/A</v>
      </c>
      <c r="J266" s="2" t="e">
        <f>INDEX(Data!V:V,MATCH($P266,Data!$AL:$AL,0))</f>
        <v>#N/A</v>
      </c>
      <c r="K266" s="2" t="e">
        <f>INDEX(Data!W:W,MATCH($P266,Data!$AL:$AL,0))</f>
        <v>#N/A</v>
      </c>
      <c r="L266" s="2" t="e">
        <f>INDEX(Data!X:X,MATCH($P266,Data!$AL:$AL,0))</f>
        <v>#N/A</v>
      </c>
      <c r="M266" s="2" t="e">
        <f>INDEX(Data!AD:AD,MATCH($P266,Data!$AL:$AL,0))</f>
        <v>#N/A</v>
      </c>
      <c r="N266" s="2" t="e">
        <f>INDEX(Data!AF:AF,MATCH($P266,Data!$AL:$AL,0))</f>
        <v>#N/A</v>
      </c>
      <c r="O266" s="2" t="e">
        <f>INDEX(Data!Q:Q,MATCH($P266,Data!$AL:$AL,0))</f>
        <v>#N/A</v>
      </c>
      <c r="Q266" s="3" t="str">
        <f t="shared" si="4"/>
        <v>NCL</v>
      </c>
    </row>
    <row r="267" spans="1:17" x14ac:dyDescent="0.25">
      <c r="A267" s="3">
        <v>274</v>
      </c>
      <c r="B267" s="216" t="s">
        <v>41</v>
      </c>
      <c r="C267" s="7">
        <f>INDEX(Data!M:M,MATCH(Q267,Data!AM:AM,0))</f>
        <v>0</v>
      </c>
      <c r="D267" s="7">
        <f>INDEX(Data!O:O,MATCH(Q267,Data!AM:AM,0))</f>
        <v>0</v>
      </c>
      <c r="E267" t="e">
        <f>INDEX(Data!T:T,MATCH($P267,Data!$AL:$AL,0))</f>
        <v>#N/A</v>
      </c>
      <c r="F267" t="e">
        <f>INDEX(Data!P:P,MATCH($P267,Data!$AL:$AL,0))</f>
        <v>#N/A</v>
      </c>
      <c r="G267" t="e">
        <f>INDEX(Data!Z:Z,MATCH($P267,Data!$AL:$AL,0))</f>
        <v>#N/A</v>
      </c>
      <c r="H267" t="e">
        <f>INDEX(Data!AA:AA,MATCH($P267,Data!$AL:$AL,0))</f>
        <v>#N/A</v>
      </c>
      <c r="I267" t="e">
        <f>INDEX(Data!AB:AB,MATCH($P267,Data!$AL:$AL,0))</f>
        <v>#N/A</v>
      </c>
      <c r="J267" t="e">
        <f>INDEX(Data!V:V,MATCH($P267,Data!$AL:$AL,0))</f>
        <v>#N/A</v>
      </c>
      <c r="K267" t="e">
        <f>INDEX(Data!W:W,MATCH($P267,Data!$AL:$AL,0))</f>
        <v>#N/A</v>
      </c>
      <c r="L267" t="e">
        <f>INDEX(Data!X:X,MATCH($P267,Data!$AL:$AL,0))</f>
        <v>#N/A</v>
      </c>
      <c r="M267" t="e">
        <f>INDEX(Data!AD:AD,MATCH($P267,Data!$AL:$AL,0))</f>
        <v>#N/A</v>
      </c>
      <c r="N267" t="e">
        <f>INDEX(Data!AF:AF,MATCH($P267,Data!$AL:$AL,0))</f>
        <v>#N/A</v>
      </c>
      <c r="O267" t="e">
        <f>INDEX(Data!Q:Q,MATCH($P267,Data!$AL:$AL,0))</f>
        <v>#N/A</v>
      </c>
      <c r="Q267" s="3" t="str">
        <f t="shared" si="4"/>
        <v>CL</v>
      </c>
    </row>
    <row r="268" spans="1:17" x14ac:dyDescent="0.25">
      <c r="A268" s="3">
        <v>275</v>
      </c>
      <c r="B268" s="216" t="s">
        <v>42</v>
      </c>
      <c r="C268" s="7">
        <f>INDEX(Data!M:M,MATCH(Q268,Data!AM:AM,0))</f>
        <v>0</v>
      </c>
      <c r="D268" s="7">
        <f>INDEX(Data!O:O,MATCH(Q268,Data!AM:AM,0))</f>
        <v>0</v>
      </c>
      <c r="E268" t="e">
        <f>INDEX(Data!T:T,MATCH($P268,Data!$AL:$AL,0))</f>
        <v>#N/A</v>
      </c>
      <c r="F268" t="e">
        <f>INDEX(Data!P:P,MATCH($P268,Data!$AL:$AL,0))</f>
        <v>#N/A</v>
      </c>
      <c r="G268" t="e">
        <f>INDEX(Data!Z:Z,MATCH($P268,Data!$AL:$AL,0))</f>
        <v>#N/A</v>
      </c>
      <c r="H268" t="e">
        <f>INDEX(Data!AA:AA,MATCH($P268,Data!$AL:$AL,0))</f>
        <v>#N/A</v>
      </c>
      <c r="I268" t="e">
        <f>INDEX(Data!AB:AB,MATCH($P268,Data!$AL:$AL,0))</f>
        <v>#N/A</v>
      </c>
      <c r="J268" t="e">
        <f>INDEX(Data!V:V,MATCH($P268,Data!$AL:$AL,0))</f>
        <v>#N/A</v>
      </c>
      <c r="K268" t="e">
        <f>INDEX(Data!W:W,MATCH($P268,Data!$AL:$AL,0))</f>
        <v>#N/A</v>
      </c>
      <c r="L268" t="e">
        <f>INDEX(Data!X:X,MATCH($P268,Data!$AL:$AL,0))</f>
        <v>#N/A</v>
      </c>
      <c r="M268" t="e">
        <f>INDEX(Data!AD:AD,MATCH($P268,Data!$AL:$AL,0))</f>
        <v>#N/A</v>
      </c>
      <c r="N268" t="e">
        <f>INDEX(Data!AF:AF,MATCH($P268,Data!$AL:$AL,0))</f>
        <v>#N/A</v>
      </c>
      <c r="O268" t="e">
        <f>INDEX(Data!Q:Q,MATCH($P268,Data!$AL:$AL,0))</f>
        <v>#N/A</v>
      </c>
      <c r="Q268" s="3" t="str">
        <f t="shared" si="4"/>
        <v>ACL</v>
      </c>
    </row>
    <row r="269" spans="1:17" x14ac:dyDescent="0.25">
      <c r="A269" s="3">
        <v>276</v>
      </c>
      <c r="B269" s="216" t="s">
        <v>43</v>
      </c>
      <c r="C269" s="7">
        <f>INDEX(Data!M:M,MATCH(Q269,Data!AM:AM,0))</f>
        <v>0</v>
      </c>
      <c r="D269" s="7">
        <f>INDEX(Data!O:O,MATCH(Q269,Data!AM:AM,0))</f>
        <v>0</v>
      </c>
      <c r="E269" t="e">
        <f>INDEX(Data!T:T,MATCH($P269,Data!$AL:$AL,0))</f>
        <v>#N/A</v>
      </c>
      <c r="F269" t="e">
        <f>INDEX(Data!P:P,MATCH($P269,Data!$AL:$AL,0))</f>
        <v>#N/A</v>
      </c>
      <c r="G269" t="e">
        <f>INDEX(Data!Z:Z,MATCH($P269,Data!$AL:$AL,0))</f>
        <v>#N/A</v>
      </c>
      <c r="H269" t="e">
        <f>INDEX(Data!AA:AA,MATCH($P269,Data!$AL:$AL,0))</f>
        <v>#N/A</v>
      </c>
      <c r="I269" t="e">
        <f>INDEX(Data!AB:AB,MATCH($P269,Data!$AL:$AL,0))</f>
        <v>#N/A</v>
      </c>
      <c r="J269" t="e">
        <f>INDEX(Data!V:V,MATCH($P269,Data!$AL:$AL,0))</f>
        <v>#N/A</v>
      </c>
      <c r="K269" t="e">
        <f>INDEX(Data!W:W,MATCH($P269,Data!$AL:$AL,0))</f>
        <v>#N/A</v>
      </c>
      <c r="L269" t="e">
        <f>INDEX(Data!X:X,MATCH($P269,Data!$AL:$AL,0))</f>
        <v>#N/A</v>
      </c>
      <c r="M269" t="e">
        <f>INDEX(Data!AD:AD,MATCH($P269,Data!$AL:$AL,0))</f>
        <v>#N/A</v>
      </c>
      <c r="N269" t="e">
        <f>INDEX(Data!AF:AF,MATCH($P269,Data!$AL:$AL,0))</f>
        <v>#N/A</v>
      </c>
      <c r="O269" t="e">
        <f>INDEX(Data!Q:Q,MATCH($P269,Data!$AL:$AL,0))</f>
        <v>#N/A</v>
      </c>
      <c r="Q269" s="3" t="str">
        <f t="shared" si="4"/>
        <v>SPCL</v>
      </c>
    </row>
    <row r="270" spans="1:17" x14ac:dyDescent="0.25">
      <c r="A270" s="4">
        <v>277</v>
      </c>
      <c r="B270" s="217" t="s">
        <v>44</v>
      </c>
      <c r="C270" s="8">
        <f>INDEX(Data!M:M,MATCH(Q270,Data!AM:AM,0))</f>
        <v>0</v>
      </c>
      <c r="D270" s="8">
        <f>INDEX(Data!O:O,MATCH(Q270,Data!AM:AM,0))</f>
        <v>0</v>
      </c>
      <c r="E270" s="1" t="e">
        <f>INDEX(Data!T:T,MATCH($P270,Data!$AL:$AL,0))</f>
        <v>#N/A</v>
      </c>
      <c r="F270" s="1" t="e">
        <f>INDEX(Data!P:P,MATCH($P270,Data!$AL:$AL,0))</f>
        <v>#N/A</v>
      </c>
      <c r="G270" s="1" t="e">
        <f>INDEX(Data!Z:Z,MATCH($P270,Data!$AL:$AL,0))</f>
        <v>#N/A</v>
      </c>
      <c r="H270" s="1" t="e">
        <f>INDEX(Data!AA:AA,MATCH($P270,Data!$AL:$AL,0))</f>
        <v>#N/A</v>
      </c>
      <c r="I270" s="1" t="e">
        <f>INDEX(Data!AB:AB,MATCH($P270,Data!$AL:$AL,0))</f>
        <v>#N/A</v>
      </c>
      <c r="J270" s="1" t="e">
        <f>INDEX(Data!V:V,MATCH($P270,Data!$AL:$AL,0))</f>
        <v>#N/A</v>
      </c>
      <c r="K270" s="1" t="e">
        <f>INDEX(Data!W:W,MATCH($P270,Data!$AL:$AL,0))</f>
        <v>#N/A</v>
      </c>
      <c r="L270" s="1" t="e">
        <f>INDEX(Data!X:X,MATCH($P270,Data!$AL:$AL,0))</f>
        <v>#N/A</v>
      </c>
      <c r="M270" s="1" t="e">
        <f>INDEX(Data!AD:AD,MATCH($P270,Data!$AL:$AL,0))</f>
        <v>#N/A</v>
      </c>
      <c r="N270" s="1" t="e">
        <f>INDEX(Data!AF:AF,MATCH($P270,Data!$AL:$AL,0))</f>
        <v>#N/A</v>
      </c>
      <c r="O270" s="1" t="e">
        <f>INDEX(Data!Q:Q,MATCH($P270,Data!$AL:$AL,0))</f>
        <v>#N/A</v>
      </c>
      <c r="P270" s="1"/>
      <c r="Q270" s="4" t="str">
        <f t="shared" si="4"/>
        <v>SPACL</v>
      </c>
    </row>
    <row r="271" spans="1:17" x14ac:dyDescent="0.25">
      <c r="A271" s="3">
        <v>278</v>
      </c>
      <c r="B271" s="218" t="s">
        <v>40</v>
      </c>
      <c r="C271" s="6">
        <f>INDEX(Data!M:M,MATCH(Q271,Data!AM:AM,0))</f>
        <v>0</v>
      </c>
      <c r="D271" s="6">
        <f>INDEX(Data!O:O,MATCH(Q271,Data!AM:AM,0))</f>
        <v>0</v>
      </c>
      <c r="E271" s="2" t="e">
        <f>INDEX(Data!T:T,MATCH($P271,Data!$AL:$AL,0))</f>
        <v>#N/A</v>
      </c>
      <c r="F271" s="2" t="e">
        <f>INDEX(Data!P:P,MATCH($P271,Data!$AL:$AL,0))</f>
        <v>#N/A</v>
      </c>
      <c r="G271" s="2" t="e">
        <f>INDEX(Data!Z:Z,MATCH($P271,Data!$AL:$AL,0))</f>
        <v>#N/A</v>
      </c>
      <c r="H271" s="2" t="e">
        <f>INDEX(Data!AA:AA,MATCH($P271,Data!$AL:$AL,0))</f>
        <v>#N/A</v>
      </c>
      <c r="I271" s="2" t="e">
        <f>INDEX(Data!AB:AB,MATCH($P271,Data!$AL:$AL,0))</f>
        <v>#N/A</v>
      </c>
      <c r="J271" s="2" t="e">
        <f>INDEX(Data!V:V,MATCH($P271,Data!$AL:$AL,0))</f>
        <v>#N/A</v>
      </c>
      <c r="K271" s="2" t="e">
        <f>INDEX(Data!W:W,MATCH($P271,Data!$AL:$AL,0))</f>
        <v>#N/A</v>
      </c>
      <c r="L271" s="2" t="e">
        <f>INDEX(Data!X:X,MATCH($P271,Data!$AL:$AL,0))</f>
        <v>#N/A</v>
      </c>
      <c r="M271" s="2" t="e">
        <f>INDEX(Data!AD:AD,MATCH($P271,Data!$AL:$AL,0))</f>
        <v>#N/A</v>
      </c>
      <c r="N271" s="2" t="e">
        <f>INDEX(Data!AF:AF,MATCH($P271,Data!$AL:$AL,0))</f>
        <v>#N/A</v>
      </c>
      <c r="O271" s="2" t="e">
        <f>INDEX(Data!Q:Q,MATCH($P271,Data!$AL:$AL,0))</f>
        <v>#N/A</v>
      </c>
      <c r="Q271" s="3" t="str">
        <f t="shared" si="4"/>
        <v>NCL</v>
      </c>
    </row>
    <row r="272" spans="1:17" x14ac:dyDescent="0.25">
      <c r="A272" s="3">
        <v>279</v>
      </c>
      <c r="B272" s="216" t="s">
        <v>41</v>
      </c>
      <c r="C272" s="7">
        <f>INDEX(Data!M:M,MATCH(Q272,Data!AM:AM,0))</f>
        <v>0</v>
      </c>
      <c r="D272" s="7">
        <f>INDEX(Data!O:O,MATCH(Q272,Data!AM:AM,0))</f>
        <v>0</v>
      </c>
      <c r="E272" t="e">
        <f>INDEX(Data!T:T,MATCH($P272,Data!$AL:$AL,0))</f>
        <v>#N/A</v>
      </c>
      <c r="F272" t="e">
        <f>INDEX(Data!P:P,MATCH($P272,Data!$AL:$AL,0))</f>
        <v>#N/A</v>
      </c>
      <c r="G272" t="e">
        <f>INDEX(Data!Z:Z,MATCH($P272,Data!$AL:$AL,0))</f>
        <v>#N/A</v>
      </c>
      <c r="H272" t="e">
        <f>INDEX(Data!AA:AA,MATCH($P272,Data!$AL:$AL,0))</f>
        <v>#N/A</v>
      </c>
      <c r="I272" t="e">
        <f>INDEX(Data!AB:AB,MATCH($P272,Data!$AL:$AL,0))</f>
        <v>#N/A</v>
      </c>
      <c r="J272" t="e">
        <f>INDEX(Data!V:V,MATCH($P272,Data!$AL:$AL,0))</f>
        <v>#N/A</v>
      </c>
      <c r="K272" t="e">
        <f>INDEX(Data!W:W,MATCH($P272,Data!$AL:$AL,0))</f>
        <v>#N/A</v>
      </c>
      <c r="L272" t="e">
        <f>INDEX(Data!X:X,MATCH($P272,Data!$AL:$AL,0))</f>
        <v>#N/A</v>
      </c>
      <c r="M272" t="e">
        <f>INDEX(Data!AD:AD,MATCH($P272,Data!$AL:$AL,0))</f>
        <v>#N/A</v>
      </c>
      <c r="N272" t="e">
        <f>INDEX(Data!AF:AF,MATCH($P272,Data!$AL:$AL,0))</f>
        <v>#N/A</v>
      </c>
      <c r="O272" t="e">
        <f>INDEX(Data!Q:Q,MATCH($P272,Data!$AL:$AL,0))</f>
        <v>#N/A</v>
      </c>
      <c r="Q272" s="3" t="str">
        <f t="shared" si="4"/>
        <v>CL</v>
      </c>
    </row>
    <row r="273" spans="1:17" x14ac:dyDescent="0.25">
      <c r="A273" s="3">
        <v>280</v>
      </c>
      <c r="B273" s="216" t="s">
        <v>42</v>
      </c>
      <c r="C273" s="7">
        <f>INDEX(Data!M:M,MATCH(Q273,Data!AM:AM,0))</f>
        <v>0</v>
      </c>
      <c r="D273" s="7">
        <f>INDEX(Data!O:O,MATCH(Q273,Data!AM:AM,0))</f>
        <v>0</v>
      </c>
      <c r="E273" t="e">
        <f>INDEX(Data!T:T,MATCH($P273,Data!$AL:$AL,0))</f>
        <v>#N/A</v>
      </c>
      <c r="F273" t="e">
        <f>INDEX(Data!P:P,MATCH($P273,Data!$AL:$AL,0))</f>
        <v>#N/A</v>
      </c>
      <c r="G273" t="e">
        <f>INDEX(Data!Z:Z,MATCH($P273,Data!$AL:$AL,0))</f>
        <v>#N/A</v>
      </c>
      <c r="H273" t="e">
        <f>INDEX(Data!AA:AA,MATCH($P273,Data!$AL:$AL,0))</f>
        <v>#N/A</v>
      </c>
      <c r="I273" t="e">
        <f>INDEX(Data!AB:AB,MATCH($P273,Data!$AL:$AL,0))</f>
        <v>#N/A</v>
      </c>
      <c r="J273" t="e">
        <f>INDEX(Data!V:V,MATCH($P273,Data!$AL:$AL,0))</f>
        <v>#N/A</v>
      </c>
      <c r="K273" t="e">
        <f>INDEX(Data!W:W,MATCH($P273,Data!$AL:$AL,0))</f>
        <v>#N/A</v>
      </c>
      <c r="L273" t="e">
        <f>INDEX(Data!X:X,MATCH($P273,Data!$AL:$AL,0))</f>
        <v>#N/A</v>
      </c>
      <c r="M273" t="e">
        <f>INDEX(Data!AD:AD,MATCH($P273,Data!$AL:$AL,0))</f>
        <v>#N/A</v>
      </c>
      <c r="N273" t="e">
        <f>INDEX(Data!AF:AF,MATCH($P273,Data!$AL:$AL,0))</f>
        <v>#N/A</v>
      </c>
      <c r="O273" t="e">
        <f>INDEX(Data!Q:Q,MATCH($P273,Data!$AL:$AL,0))</f>
        <v>#N/A</v>
      </c>
      <c r="Q273" s="3" t="str">
        <f t="shared" si="4"/>
        <v>ACL</v>
      </c>
    </row>
    <row r="274" spans="1:17" x14ac:dyDescent="0.25">
      <c r="A274" s="3">
        <v>281</v>
      </c>
      <c r="B274" s="216" t="s">
        <v>43</v>
      </c>
      <c r="C274" s="7">
        <f>INDEX(Data!M:M,MATCH(Q274,Data!AM:AM,0))</f>
        <v>0</v>
      </c>
      <c r="D274" s="7">
        <f>INDEX(Data!O:O,MATCH(Q274,Data!AM:AM,0))</f>
        <v>0</v>
      </c>
      <c r="E274" t="e">
        <f>INDEX(Data!T:T,MATCH($P274,Data!$AL:$AL,0))</f>
        <v>#N/A</v>
      </c>
      <c r="F274" t="e">
        <f>INDEX(Data!P:P,MATCH($P274,Data!$AL:$AL,0))</f>
        <v>#N/A</v>
      </c>
      <c r="G274" t="e">
        <f>INDEX(Data!Z:Z,MATCH($P274,Data!$AL:$AL,0))</f>
        <v>#N/A</v>
      </c>
      <c r="H274" t="e">
        <f>INDEX(Data!AA:AA,MATCH($P274,Data!$AL:$AL,0))</f>
        <v>#N/A</v>
      </c>
      <c r="I274" t="e">
        <f>INDEX(Data!AB:AB,MATCH($P274,Data!$AL:$AL,0))</f>
        <v>#N/A</v>
      </c>
      <c r="J274" t="e">
        <f>INDEX(Data!V:V,MATCH($P274,Data!$AL:$AL,0))</f>
        <v>#N/A</v>
      </c>
      <c r="K274" t="e">
        <f>INDEX(Data!W:W,MATCH($P274,Data!$AL:$AL,0))</f>
        <v>#N/A</v>
      </c>
      <c r="L274" t="e">
        <f>INDEX(Data!X:X,MATCH($P274,Data!$AL:$AL,0))</f>
        <v>#N/A</v>
      </c>
      <c r="M274" t="e">
        <f>INDEX(Data!AD:AD,MATCH($P274,Data!$AL:$AL,0))</f>
        <v>#N/A</v>
      </c>
      <c r="N274" t="e">
        <f>INDEX(Data!AF:AF,MATCH($P274,Data!$AL:$AL,0))</f>
        <v>#N/A</v>
      </c>
      <c r="O274" t="e">
        <f>INDEX(Data!Q:Q,MATCH($P274,Data!$AL:$AL,0))</f>
        <v>#N/A</v>
      </c>
      <c r="Q274" s="3" t="str">
        <f t="shared" si="4"/>
        <v>SPCL</v>
      </c>
    </row>
    <row r="275" spans="1:17" x14ac:dyDescent="0.25">
      <c r="A275" s="4">
        <v>282</v>
      </c>
      <c r="B275" s="217" t="s">
        <v>44</v>
      </c>
      <c r="C275" s="8">
        <f>INDEX(Data!M:M,MATCH(Q275,Data!AM:AM,0))</f>
        <v>0</v>
      </c>
      <c r="D275" s="8">
        <f>INDEX(Data!O:O,MATCH(Q275,Data!AM:AM,0))</f>
        <v>0</v>
      </c>
      <c r="E275" s="1" t="e">
        <f>INDEX(Data!T:T,MATCH($P275,Data!$AL:$AL,0))</f>
        <v>#N/A</v>
      </c>
      <c r="F275" s="1" t="e">
        <f>INDEX(Data!P:P,MATCH($P275,Data!$AL:$AL,0))</f>
        <v>#N/A</v>
      </c>
      <c r="G275" s="1" t="e">
        <f>INDEX(Data!Z:Z,MATCH($P275,Data!$AL:$AL,0))</f>
        <v>#N/A</v>
      </c>
      <c r="H275" s="1" t="e">
        <f>INDEX(Data!AA:AA,MATCH($P275,Data!$AL:$AL,0))</f>
        <v>#N/A</v>
      </c>
      <c r="I275" s="1" t="e">
        <f>INDEX(Data!AB:AB,MATCH($P275,Data!$AL:$AL,0))</f>
        <v>#N/A</v>
      </c>
      <c r="J275" s="1" t="e">
        <f>INDEX(Data!V:V,MATCH($P275,Data!$AL:$AL,0))</f>
        <v>#N/A</v>
      </c>
      <c r="K275" s="1" t="e">
        <f>INDEX(Data!W:W,MATCH($P275,Data!$AL:$AL,0))</f>
        <v>#N/A</v>
      </c>
      <c r="L275" s="1" t="e">
        <f>INDEX(Data!X:X,MATCH($P275,Data!$AL:$AL,0))</f>
        <v>#N/A</v>
      </c>
      <c r="M275" s="1" t="e">
        <f>INDEX(Data!AD:AD,MATCH($P275,Data!$AL:$AL,0))</f>
        <v>#N/A</v>
      </c>
      <c r="N275" s="1" t="e">
        <f>INDEX(Data!AF:AF,MATCH($P275,Data!$AL:$AL,0))</f>
        <v>#N/A</v>
      </c>
      <c r="O275" s="1" t="e">
        <f>INDEX(Data!Q:Q,MATCH($P275,Data!$AL:$AL,0))</f>
        <v>#N/A</v>
      </c>
      <c r="P275" s="1"/>
      <c r="Q275" s="4" t="str">
        <f t="shared" si="4"/>
        <v>SPACL</v>
      </c>
    </row>
    <row r="276" spans="1:17" x14ac:dyDescent="0.25">
      <c r="A276" s="3">
        <v>283</v>
      </c>
      <c r="B276" s="218" t="s">
        <v>40</v>
      </c>
      <c r="C276" s="6">
        <f>INDEX(Data!M:M,MATCH(Q276,Data!AM:AM,0))</f>
        <v>0</v>
      </c>
      <c r="D276" s="6">
        <f>INDEX(Data!O:O,MATCH(Q276,Data!AM:AM,0))</f>
        <v>0</v>
      </c>
      <c r="E276" s="2" t="e">
        <f>INDEX(Data!T:T,MATCH($P276,Data!$AL:$AL,0))</f>
        <v>#N/A</v>
      </c>
      <c r="F276" s="2" t="e">
        <f>INDEX(Data!P:P,MATCH($P276,Data!$AL:$AL,0))</f>
        <v>#N/A</v>
      </c>
      <c r="G276" s="2" t="e">
        <f>INDEX(Data!Z:Z,MATCH($P276,Data!$AL:$AL,0))</f>
        <v>#N/A</v>
      </c>
      <c r="H276" s="2" t="e">
        <f>INDEX(Data!AA:AA,MATCH($P276,Data!$AL:$AL,0))</f>
        <v>#N/A</v>
      </c>
      <c r="I276" s="2" t="e">
        <f>INDEX(Data!AB:AB,MATCH($P276,Data!$AL:$AL,0))</f>
        <v>#N/A</v>
      </c>
      <c r="J276" s="2" t="e">
        <f>INDEX(Data!V:V,MATCH($P276,Data!$AL:$AL,0))</f>
        <v>#N/A</v>
      </c>
      <c r="K276" s="2" t="e">
        <f>INDEX(Data!W:W,MATCH($P276,Data!$AL:$AL,0))</f>
        <v>#N/A</v>
      </c>
      <c r="L276" s="2" t="e">
        <f>INDEX(Data!X:X,MATCH($P276,Data!$AL:$AL,0))</f>
        <v>#N/A</v>
      </c>
      <c r="M276" s="2" t="e">
        <f>INDEX(Data!AD:AD,MATCH($P276,Data!$AL:$AL,0))</f>
        <v>#N/A</v>
      </c>
      <c r="N276" s="2" t="e">
        <f>INDEX(Data!AF:AF,MATCH($P276,Data!$AL:$AL,0))</f>
        <v>#N/A</v>
      </c>
      <c r="O276" s="2" t="e">
        <f>INDEX(Data!Q:Q,MATCH($P276,Data!$AL:$AL,0))</f>
        <v>#N/A</v>
      </c>
      <c r="Q276" s="3" t="str">
        <f t="shared" si="4"/>
        <v>NCL</v>
      </c>
    </row>
    <row r="277" spans="1:17" x14ac:dyDescent="0.25">
      <c r="A277" s="3">
        <v>284</v>
      </c>
      <c r="B277" s="216" t="s">
        <v>41</v>
      </c>
      <c r="C277" s="7">
        <f>INDEX(Data!M:M,MATCH(Q277,Data!AM:AM,0))</f>
        <v>0</v>
      </c>
      <c r="D277" s="7">
        <f>INDEX(Data!O:O,MATCH(Q277,Data!AM:AM,0))</f>
        <v>0</v>
      </c>
      <c r="E277" t="e">
        <f>INDEX(Data!T:T,MATCH($P277,Data!$AL:$AL,0))</f>
        <v>#N/A</v>
      </c>
      <c r="F277" t="e">
        <f>INDEX(Data!P:P,MATCH($P277,Data!$AL:$AL,0))</f>
        <v>#N/A</v>
      </c>
      <c r="G277" t="e">
        <f>INDEX(Data!Z:Z,MATCH($P277,Data!$AL:$AL,0))</f>
        <v>#N/A</v>
      </c>
      <c r="H277" t="e">
        <f>INDEX(Data!AA:AA,MATCH($P277,Data!$AL:$AL,0))</f>
        <v>#N/A</v>
      </c>
      <c r="I277" t="e">
        <f>INDEX(Data!AB:AB,MATCH($P277,Data!$AL:$AL,0))</f>
        <v>#N/A</v>
      </c>
      <c r="J277" t="e">
        <f>INDEX(Data!V:V,MATCH($P277,Data!$AL:$AL,0))</f>
        <v>#N/A</v>
      </c>
      <c r="K277" t="e">
        <f>INDEX(Data!W:W,MATCH($P277,Data!$AL:$AL,0))</f>
        <v>#N/A</v>
      </c>
      <c r="L277" t="e">
        <f>INDEX(Data!X:X,MATCH($P277,Data!$AL:$AL,0))</f>
        <v>#N/A</v>
      </c>
      <c r="M277" t="e">
        <f>INDEX(Data!AD:AD,MATCH($P277,Data!$AL:$AL,0))</f>
        <v>#N/A</v>
      </c>
      <c r="N277" t="e">
        <f>INDEX(Data!AF:AF,MATCH($P277,Data!$AL:$AL,0))</f>
        <v>#N/A</v>
      </c>
      <c r="O277" t="e">
        <f>INDEX(Data!Q:Q,MATCH($P277,Data!$AL:$AL,0))</f>
        <v>#N/A</v>
      </c>
      <c r="Q277" s="3" t="str">
        <f t="shared" si="4"/>
        <v>CL</v>
      </c>
    </row>
    <row r="278" spans="1:17" x14ac:dyDescent="0.25">
      <c r="A278" s="3">
        <v>285</v>
      </c>
      <c r="B278" s="216" t="s">
        <v>42</v>
      </c>
      <c r="C278" s="7">
        <f>INDEX(Data!M:M,MATCH(Q278,Data!AM:AM,0))</f>
        <v>0</v>
      </c>
      <c r="D278" s="7">
        <f>INDEX(Data!O:O,MATCH(Q278,Data!AM:AM,0))</f>
        <v>0</v>
      </c>
      <c r="E278" t="e">
        <f>INDEX(Data!T:T,MATCH($P278,Data!$AL:$AL,0))</f>
        <v>#N/A</v>
      </c>
      <c r="F278" t="e">
        <f>INDEX(Data!P:P,MATCH($P278,Data!$AL:$AL,0))</f>
        <v>#N/A</v>
      </c>
      <c r="G278" t="e">
        <f>INDEX(Data!Z:Z,MATCH($P278,Data!$AL:$AL,0))</f>
        <v>#N/A</v>
      </c>
      <c r="H278" t="e">
        <f>INDEX(Data!AA:AA,MATCH($P278,Data!$AL:$AL,0))</f>
        <v>#N/A</v>
      </c>
      <c r="I278" t="e">
        <f>INDEX(Data!AB:AB,MATCH($P278,Data!$AL:$AL,0))</f>
        <v>#N/A</v>
      </c>
      <c r="J278" t="e">
        <f>INDEX(Data!V:V,MATCH($P278,Data!$AL:$AL,0))</f>
        <v>#N/A</v>
      </c>
      <c r="K278" t="e">
        <f>INDEX(Data!W:W,MATCH($P278,Data!$AL:$AL,0))</f>
        <v>#N/A</v>
      </c>
      <c r="L278" t="e">
        <f>INDEX(Data!X:X,MATCH($P278,Data!$AL:$AL,0))</f>
        <v>#N/A</v>
      </c>
      <c r="M278" t="e">
        <f>INDEX(Data!AD:AD,MATCH($P278,Data!$AL:$AL,0))</f>
        <v>#N/A</v>
      </c>
      <c r="N278" t="e">
        <f>INDEX(Data!AF:AF,MATCH($P278,Data!$AL:$AL,0))</f>
        <v>#N/A</v>
      </c>
      <c r="O278" t="e">
        <f>INDEX(Data!Q:Q,MATCH($P278,Data!$AL:$AL,0))</f>
        <v>#N/A</v>
      </c>
      <c r="Q278" s="3" t="str">
        <f t="shared" si="4"/>
        <v>ACL</v>
      </c>
    </row>
    <row r="279" spans="1:17" x14ac:dyDescent="0.25">
      <c r="A279" s="3">
        <v>286</v>
      </c>
      <c r="B279" s="216" t="s">
        <v>43</v>
      </c>
      <c r="C279" s="7">
        <f>INDEX(Data!M:M,MATCH(Q279,Data!AM:AM,0))</f>
        <v>0</v>
      </c>
      <c r="D279" s="7">
        <f>INDEX(Data!O:O,MATCH(Q279,Data!AM:AM,0))</f>
        <v>0</v>
      </c>
      <c r="E279" t="e">
        <f>INDEX(Data!T:T,MATCH($P279,Data!$AL:$AL,0))</f>
        <v>#N/A</v>
      </c>
      <c r="F279" t="e">
        <f>INDEX(Data!P:P,MATCH($P279,Data!$AL:$AL,0))</f>
        <v>#N/A</v>
      </c>
      <c r="G279" t="e">
        <f>INDEX(Data!Z:Z,MATCH($P279,Data!$AL:$AL,0))</f>
        <v>#N/A</v>
      </c>
      <c r="H279" t="e">
        <f>INDEX(Data!AA:AA,MATCH($P279,Data!$AL:$AL,0))</f>
        <v>#N/A</v>
      </c>
      <c r="I279" t="e">
        <f>INDEX(Data!AB:AB,MATCH($P279,Data!$AL:$AL,0))</f>
        <v>#N/A</v>
      </c>
      <c r="J279" t="e">
        <f>INDEX(Data!V:V,MATCH($P279,Data!$AL:$AL,0))</f>
        <v>#N/A</v>
      </c>
      <c r="K279" t="e">
        <f>INDEX(Data!W:W,MATCH($P279,Data!$AL:$AL,0))</f>
        <v>#N/A</v>
      </c>
      <c r="L279" t="e">
        <f>INDEX(Data!X:X,MATCH($P279,Data!$AL:$AL,0))</f>
        <v>#N/A</v>
      </c>
      <c r="M279" t="e">
        <f>INDEX(Data!AD:AD,MATCH($P279,Data!$AL:$AL,0))</f>
        <v>#N/A</v>
      </c>
      <c r="N279" t="e">
        <f>INDEX(Data!AF:AF,MATCH($P279,Data!$AL:$AL,0))</f>
        <v>#N/A</v>
      </c>
      <c r="O279" t="e">
        <f>INDEX(Data!Q:Q,MATCH($P279,Data!$AL:$AL,0))</f>
        <v>#N/A</v>
      </c>
      <c r="Q279" s="3" t="str">
        <f t="shared" si="4"/>
        <v>SPCL</v>
      </c>
    </row>
    <row r="280" spans="1:17" x14ac:dyDescent="0.25">
      <c r="A280" s="4">
        <v>287</v>
      </c>
      <c r="B280" s="217" t="s">
        <v>44</v>
      </c>
      <c r="C280" s="8">
        <f>INDEX(Data!M:M,MATCH(Q280,Data!AM:AM,0))</f>
        <v>0</v>
      </c>
      <c r="D280" s="8">
        <f>INDEX(Data!O:O,MATCH(Q280,Data!AM:AM,0))</f>
        <v>0</v>
      </c>
      <c r="E280" s="1" t="e">
        <f>INDEX(Data!T:T,MATCH($P280,Data!$AL:$AL,0))</f>
        <v>#N/A</v>
      </c>
      <c r="F280" s="1" t="e">
        <f>INDEX(Data!P:P,MATCH($P280,Data!$AL:$AL,0))</f>
        <v>#N/A</v>
      </c>
      <c r="G280" s="1" t="e">
        <f>INDEX(Data!Z:Z,MATCH($P280,Data!$AL:$AL,0))</f>
        <v>#N/A</v>
      </c>
      <c r="H280" s="1" t="e">
        <f>INDEX(Data!AA:AA,MATCH($P280,Data!$AL:$AL,0))</f>
        <v>#N/A</v>
      </c>
      <c r="I280" s="1" t="e">
        <f>INDEX(Data!AB:AB,MATCH($P280,Data!$AL:$AL,0))</f>
        <v>#N/A</v>
      </c>
      <c r="J280" s="1" t="e">
        <f>INDEX(Data!V:V,MATCH($P280,Data!$AL:$AL,0))</f>
        <v>#N/A</v>
      </c>
      <c r="K280" s="1" t="e">
        <f>INDEX(Data!W:W,MATCH($P280,Data!$AL:$AL,0))</f>
        <v>#N/A</v>
      </c>
      <c r="L280" s="1" t="e">
        <f>INDEX(Data!X:X,MATCH($P280,Data!$AL:$AL,0))</f>
        <v>#N/A</v>
      </c>
      <c r="M280" s="1" t="e">
        <f>INDEX(Data!AD:AD,MATCH($P280,Data!$AL:$AL,0))</f>
        <v>#N/A</v>
      </c>
      <c r="N280" s="1" t="e">
        <f>INDEX(Data!AF:AF,MATCH($P280,Data!$AL:$AL,0))</f>
        <v>#N/A</v>
      </c>
      <c r="O280" s="1" t="e">
        <f>INDEX(Data!Q:Q,MATCH($P280,Data!$AL:$AL,0))</f>
        <v>#N/A</v>
      </c>
      <c r="P280" s="1"/>
      <c r="Q280" s="4" t="str">
        <f t="shared" si="4"/>
        <v>SPACL</v>
      </c>
    </row>
    <row r="281" spans="1:17" x14ac:dyDescent="0.25">
      <c r="A281" s="3">
        <v>288</v>
      </c>
      <c r="B281" s="218" t="s">
        <v>40</v>
      </c>
      <c r="C281" s="6">
        <f>INDEX(Data!M:M,MATCH(Q281,Data!AM:AM,0))</f>
        <v>0</v>
      </c>
      <c r="D281" s="6">
        <f>INDEX(Data!O:O,MATCH(Q281,Data!AM:AM,0))</f>
        <v>0</v>
      </c>
      <c r="E281" s="2" t="e">
        <f>INDEX(Data!T:T,MATCH($P281,Data!$AL:$AL,0))</f>
        <v>#N/A</v>
      </c>
      <c r="F281" s="2" t="e">
        <f>INDEX(Data!P:P,MATCH($P281,Data!$AL:$AL,0))</f>
        <v>#N/A</v>
      </c>
      <c r="G281" s="2" t="e">
        <f>INDEX(Data!Z:Z,MATCH($P281,Data!$AL:$AL,0))</f>
        <v>#N/A</v>
      </c>
      <c r="H281" s="2" t="e">
        <f>INDEX(Data!AA:AA,MATCH($P281,Data!$AL:$AL,0))</f>
        <v>#N/A</v>
      </c>
      <c r="I281" s="2" t="e">
        <f>INDEX(Data!AB:AB,MATCH($P281,Data!$AL:$AL,0))</f>
        <v>#N/A</v>
      </c>
      <c r="J281" s="2" t="e">
        <f>INDEX(Data!V:V,MATCH($P281,Data!$AL:$AL,0))</f>
        <v>#N/A</v>
      </c>
      <c r="K281" s="2" t="e">
        <f>INDEX(Data!W:W,MATCH($P281,Data!$AL:$AL,0))</f>
        <v>#N/A</v>
      </c>
      <c r="L281" s="2" t="e">
        <f>INDEX(Data!X:X,MATCH($P281,Data!$AL:$AL,0))</f>
        <v>#N/A</v>
      </c>
      <c r="M281" s="2" t="e">
        <f>INDEX(Data!AD:AD,MATCH($P281,Data!$AL:$AL,0))</f>
        <v>#N/A</v>
      </c>
      <c r="N281" s="2" t="e">
        <f>INDEX(Data!AF:AF,MATCH($P281,Data!$AL:$AL,0))</f>
        <v>#N/A</v>
      </c>
      <c r="O281" s="2" t="e">
        <f>INDEX(Data!Q:Q,MATCH($P281,Data!$AL:$AL,0))</f>
        <v>#N/A</v>
      </c>
      <c r="Q281" s="3" t="str">
        <f t="shared" si="4"/>
        <v>NCL</v>
      </c>
    </row>
    <row r="282" spans="1:17" x14ac:dyDescent="0.25">
      <c r="A282" s="3">
        <v>289</v>
      </c>
      <c r="B282" s="216" t="s">
        <v>41</v>
      </c>
      <c r="C282" s="7">
        <f>INDEX(Data!M:M,MATCH(Q282,Data!AM:AM,0))</f>
        <v>0</v>
      </c>
      <c r="D282" s="7">
        <f>INDEX(Data!O:O,MATCH(Q282,Data!AM:AM,0))</f>
        <v>0</v>
      </c>
      <c r="E282" t="e">
        <f>INDEX(Data!T:T,MATCH($P282,Data!$AL:$AL,0))</f>
        <v>#N/A</v>
      </c>
      <c r="F282" t="e">
        <f>INDEX(Data!P:P,MATCH($P282,Data!$AL:$AL,0))</f>
        <v>#N/A</v>
      </c>
      <c r="G282" t="e">
        <f>INDEX(Data!Z:Z,MATCH($P282,Data!$AL:$AL,0))</f>
        <v>#N/A</v>
      </c>
      <c r="H282" t="e">
        <f>INDEX(Data!AA:AA,MATCH($P282,Data!$AL:$AL,0))</f>
        <v>#N/A</v>
      </c>
      <c r="I282" t="e">
        <f>INDEX(Data!AB:AB,MATCH($P282,Data!$AL:$AL,0))</f>
        <v>#N/A</v>
      </c>
      <c r="J282" t="e">
        <f>INDEX(Data!V:V,MATCH($P282,Data!$AL:$AL,0))</f>
        <v>#N/A</v>
      </c>
      <c r="K282" t="e">
        <f>INDEX(Data!W:W,MATCH($P282,Data!$AL:$AL,0))</f>
        <v>#N/A</v>
      </c>
      <c r="L282" t="e">
        <f>INDEX(Data!X:X,MATCH($P282,Data!$AL:$AL,0))</f>
        <v>#N/A</v>
      </c>
      <c r="M282" t="e">
        <f>INDEX(Data!AD:AD,MATCH($P282,Data!$AL:$AL,0))</f>
        <v>#N/A</v>
      </c>
      <c r="N282" t="e">
        <f>INDEX(Data!AF:AF,MATCH($P282,Data!$AL:$AL,0))</f>
        <v>#N/A</v>
      </c>
      <c r="O282" t="e">
        <f>INDEX(Data!Q:Q,MATCH($P282,Data!$AL:$AL,0))</f>
        <v>#N/A</v>
      </c>
      <c r="Q282" s="3" t="str">
        <f t="shared" si="4"/>
        <v>CL</v>
      </c>
    </row>
    <row r="283" spans="1:17" x14ac:dyDescent="0.25">
      <c r="A283" s="3">
        <v>290</v>
      </c>
      <c r="B283" s="216" t="s">
        <v>42</v>
      </c>
      <c r="C283" s="7">
        <f>INDEX(Data!M:M,MATCH(Q283,Data!AM:AM,0))</f>
        <v>0</v>
      </c>
      <c r="D283" s="7">
        <f>INDEX(Data!O:O,MATCH(Q283,Data!AM:AM,0))</f>
        <v>0</v>
      </c>
      <c r="E283" t="e">
        <f>INDEX(Data!T:T,MATCH($P283,Data!$AL:$AL,0))</f>
        <v>#N/A</v>
      </c>
      <c r="F283" t="e">
        <f>INDEX(Data!P:P,MATCH($P283,Data!$AL:$AL,0))</f>
        <v>#N/A</v>
      </c>
      <c r="G283" t="e">
        <f>INDEX(Data!Z:Z,MATCH($P283,Data!$AL:$AL,0))</f>
        <v>#N/A</v>
      </c>
      <c r="H283" t="e">
        <f>INDEX(Data!AA:AA,MATCH($P283,Data!$AL:$AL,0))</f>
        <v>#N/A</v>
      </c>
      <c r="I283" t="e">
        <f>INDEX(Data!AB:AB,MATCH($P283,Data!$AL:$AL,0))</f>
        <v>#N/A</v>
      </c>
      <c r="J283" t="e">
        <f>INDEX(Data!V:V,MATCH($P283,Data!$AL:$AL,0))</f>
        <v>#N/A</v>
      </c>
      <c r="K283" t="e">
        <f>INDEX(Data!W:W,MATCH($P283,Data!$AL:$AL,0))</f>
        <v>#N/A</v>
      </c>
      <c r="L283" t="e">
        <f>INDEX(Data!X:X,MATCH($P283,Data!$AL:$AL,0))</f>
        <v>#N/A</v>
      </c>
      <c r="M283" t="e">
        <f>INDEX(Data!AD:AD,MATCH($P283,Data!$AL:$AL,0))</f>
        <v>#N/A</v>
      </c>
      <c r="N283" t="e">
        <f>INDEX(Data!AF:AF,MATCH($P283,Data!$AL:$AL,0))</f>
        <v>#N/A</v>
      </c>
      <c r="O283" t="e">
        <f>INDEX(Data!Q:Q,MATCH($P283,Data!$AL:$AL,0))</f>
        <v>#N/A</v>
      </c>
      <c r="Q283" s="3" t="str">
        <f t="shared" si="4"/>
        <v>ACL</v>
      </c>
    </row>
    <row r="284" spans="1:17" x14ac:dyDescent="0.25">
      <c r="A284" s="3">
        <v>291</v>
      </c>
      <c r="B284" s="216" t="s">
        <v>43</v>
      </c>
      <c r="C284" s="7">
        <f>INDEX(Data!M:M,MATCH(Q284,Data!AM:AM,0))</f>
        <v>0</v>
      </c>
      <c r="D284" s="7">
        <f>INDEX(Data!O:O,MATCH(Q284,Data!AM:AM,0))</f>
        <v>0</v>
      </c>
      <c r="E284" t="e">
        <f>INDEX(Data!T:T,MATCH($P284,Data!$AL:$AL,0))</f>
        <v>#N/A</v>
      </c>
      <c r="F284" t="e">
        <f>INDEX(Data!P:P,MATCH($P284,Data!$AL:$AL,0))</f>
        <v>#N/A</v>
      </c>
      <c r="G284" t="e">
        <f>INDEX(Data!Z:Z,MATCH($P284,Data!$AL:$AL,0))</f>
        <v>#N/A</v>
      </c>
      <c r="H284" t="e">
        <f>INDEX(Data!AA:AA,MATCH($P284,Data!$AL:$AL,0))</f>
        <v>#N/A</v>
      </c>
      <c r="I284" t="e">
        <f>INDEX(Data!AB:AB,MATCH($P284,Data!$AL:$AL,0))</f>
        <v>#N/A</v>
      </c>
      <c r="J284" t="e">
        <f>INDEX(Data!V:V,MATCH($P284,Data!$AL:$AL,0))</f>
        <v>#N/A</v>
      </c>
      <c r="K284" t="e">
        <f>INDEX(Data!W:W,MATCH($P284,Data!$AL:$AL,0))</f>
        <v>#N/A</v>
      </c>
      <c r="L284" t="e">
        <f>INDEX(Data!X:X,MATCH($P284,Data!$AL:$AL,0))</f>
        <v>#N/A</v>
      </c>
      <c r="M284" t="e">
        <f>INDEX(Data!AD:AD,MATCH($P284,Data!$AL:$AL,0))</f>
        <v>#N/A</v>
      </c>
      <c r="N284" t="e">
        <f>INDEX(Data!AF:AF,MATCH($P284,Data!$AL:$AL,0))</f>
        <v>#N/A</v>
      </c>
      <c r="O284" t="e">
        <f>INDEX(Data!Q:Q,MATCH($P284,Data!$AL:$AL,0))</f>
        <v>#N/A</v>
      </c>
      <c r="Q284" s="3" t="str">
        <f t="shared" si="4"/>
        <v>SPCL</v>
      </c>
    </row>
    <row r="285" spans="1:17" x14ac:dyDescent="0.25">
      <c r="A285" s="4">
        <v>292</v>
      </c>
      <c r="B285" s="217" t="s">
        <v>44</v>
      </c>
      <c r="C285" s="8">
        <f>INDEX(Data!M:M,MATCH(Q285,Data!AM:AM,0))</f>
        <v>0</v>
      </c>
      <c r="D285" s="8">
        <f>INDEX(Data!O:O,MATCH(Q285,Data!AM:AM,0))</f>
        <v>0</v>
      </c>
      <c r="E285" s="1" t="e">
        <f>INDEX(Data!T:T,MATCH($P285,Data!$AL:$AL,0))</f>
        <v>#N/A</v>
      </c>
      <c r="F285" s="1" t="e">
        <f>INDEX(Data!P:P,MATCH($P285,Data!$AL:$AL,0))</f>
        <v>#N/A</v>
      </c>
      <c r="G285" s="1" t="e">
        <f>INDEX(Data!Z:Z,MATCH($P285,Data!$AL:$AL,0))</f>
        <v>#N/A</v>
      </c>
      <c r="H285" s="1" t="e">
        <f>INDEX(Data!AA:AA,MATCH($P285,Data!$AL:$AL,0))</f>
        <v>#N/A</v>
      </c>
      <c r="I285" s="1" t="e">
        <f>INDEX(Data!AB:AB,MATCH($P285,Data!$AL:$AL,0))</f>
        <v>#N/A</v>
      </c>
      <c r="J285" s="1" t="e">
        <f>INDEX(Data!V:V,MATCH($P285,Data!$AL:$AL,0))</f>
        <v>#N/A</v>
      </c>
      <c r="K285" s="1" t="e">
        <f>INDEX(Data!W:W,MATCH($P285,Data!$AL:$AL,0))</f>
        <v>#N/A</v>
      </c>
      <c r="L285" s="1" t="e">
        <f>INDEX(Data!X:X,MATCH($P285,Data!$AL:$AL,0))</f>
        <v>#N/A</v>
      </c>
      <c r="M285" s="1" t="e">
        <f>INDEX(Data!AD:AD,MATCH($P285,Data!$AL:$AL,0))</f>
        <v>#N/A</v>
      </c>
      <c r="N285" s="1" t="e">
        <f>INDEX(Data!AF:AF,MATCH($P285,Data!$AL:$AL,0))</f>
        <v>#N/A</v>
      </c>
      <c r="O285" s="1" t="e">
        <f>INDEX(Data!Q:Q,MATCH($P285,Data!$AL:$AL,0))</f>
        <v>#N/A</v>
      </c>
      <c r="P285" s="1"/>
      <c r="Q285" s="4" t="str">
        <f t="shared" si="4"/>
        <v>SPACL</v>
      </c>
    </row>
    <row r="286" spans="1:17" x14ac:dyDescent="0.25">
      <c r="A286" s="3">
        <v>293</v>
      </c>
      <c r="B286" s="218" t="s">
        <v>40</v>
      </c>
      <c r="C286" s="6">
        <f>INDEX(Data!M:M,MATCH(Q286,Data!AM:AM,0))</f>
        <v>0</v>
      </c>
      <c r="D286" s="6">
        <f>INDEX(Data!O:O,MATCH(Q286,Data!AM:AM,0))</f>
        <v>0</v>
      </c>
      <c r="E286" s="2" t="e">
        <f>INDEX(Data!T:T,MATCH($P286,Data!$AL:$AL,0))</f>
        <v>#N/A</v>
      </c>
      <c r="F286" s="2" t="e">
        <f>INDEX(Data!P:P,MATCH($P286,Data!$AL:$AL,0))</f>
        <v>#N/A</v>
      </c>
      <c r="G286" s="2" t="e">
        <f>INDEX(Data!Z:Z,MATCH($P286,Data!$AL:$AL,0))</f>
        <v>#N/A</v>
      </c>
      <c r="H286" s="2" t="e">
        <f>INDEX(Data!AA:AA,MATCH($P286,Data!$AL:$AL,0))</f>
        <v>#N/A</v>
      </c>
      <c r="I286" s="2" t="e">
        <f>INDEX(Data!AB:AB,MATCH($P286,Data!$AL:$AL,0))</f>
        <v>#N/A</v>
      </c>
      <c r="J286" s="2" t="e">
        <f>INDEX(Data!V:V,MATCH($P286,Data!$AL:$AL,0))</f>
        <v>#N/A</v>
      </c>
      <c r="K286" s="2" t="e">
        <f>INDEX(Data!W:W,MATCH($P286,Data!$AL:$AL,0))</f>
        <v>#N/A</v>
      </c>
      <c r="L286" s="2" t="e">
        <f>INDEX(Data!X:X,MATCH($P286,Data!$AL:$AL,0))</f>
        <v>#N/A</v>
      </c>
      <c r="M286" s="2" t="e">
        <f>INDEX(Data!AD:AD,MATCH($P286,Data!$AL:$AL,0))</f>
        <v>#N/A</v>
      </c>
      <c r="N286" s="2" t="e">
        <f>INDEX(Data!AF:AF,MATCH($P286,Data!$AL:$AL,0))</f>
        <v>#N/A</v>
      </c>
      <c r="O286" s="2" t="e">
        <f>INDEX(Data!Q:Q,MATCH($P286,Data!$AL:$AL,0))</f>
        <v>#N/A</v>
      </c>
      <c r="Q286" s="3" t="str">
        <f t="shared" si="4"/>
        <v>NCL</v>
      </c>
    </row>
    <row r="287" spans="1:17" x14ac:dyDescent="0.25">
      <c r="A287" s="3">
        <v>294</v>
      </c>
      <c r="B287" s="216" t="s">
        <v>41</v>
      </c>
      <c r="C287" s="7">
        <f>INDEX(Data!M:M,MATCH(Q287,Data!AM:AM,0))</f>
        <v>0</v>
      </c>
      <c r="D287" s="7">
        <f>INDEX(Data!O:O,MATCH(Q287,Data!AM:AM,0))</f>
        <v>0</v>
      </c>
      <c r="E287" t="e">
        <f>INDEX(Data!T:T,MATCH($P287,Data!$AL:$AL,0))</f>
        <v>#N/A</v>
      </c>
      <c r="F287" t="e">
        <f>INDEX(Data!P:P,MATCH($P287,Data!$AL:$AL,0))</f>
        <v>#N/A</v>
      </c>
      <c r="G287" t="e">
        <f>INDEX(Data!Z:Z,MATCH($P287,Data!$AL:$AL,0))</f>
        <v>#N/A</v>
      </c>
      <c r="H287" t="e">
        <f>INDEX(Data!AA:AA,MATCH($P287,Data!$AL:$AL,0))</f>
        <v>#N/A</v>
      </c>
      <c r="I287" t="e">
        <f>INDEX(Data!AB:AB,MATCH($P287,Data!$AL:$AL,0))</f>
        <v>#N/A</v>
      </c>
      <c r="J287" t="e">
        <f>INDEX(Data!V:V,MATCH($P287,Data!$AL:$AL,0))</f>
        <v>#N/A</v>
      </c>
      <c r="K287" t="e">
        <f>INDEX(Data!W:W,MATCH($P287,Data!$AL:$AL,0))</f>
        <v>#N/A</v>
      </c>
      <c r="L287" t="e">
        <f>INDEX(Data!X:X,MATCH($P287,Data!$AL:$AL,0))</f>
        <v>#N/A</v>
      </c>
      <c r="M287" t="e">
        <f>INDEX(Data!AD:AD,MATCH($P287,Data!$AL:$AL,0))</f>
        <v>#N/A</v>
      </c>
      <c r="N287" t="e">
        <f>INDEX(Data!AF:AF,MATCH($P287,Data!$AL:$AL,0))</f>
        <v>#N/A</v>
      </c>
      <c r="O287" t="e">
        <f>INDEX(Data!Q:Q,MATCH($P287,Data!$AL:$AL,0))</f>
        <v>#N/A</v>
      </c>
      <c r="Q287" s="3" t="str">
        <f t="shared" si="4"/>
        <v>CL</v>
      </c>
    </row>
    <row r="288" spans="1:17" x14ac:dyDescent="0.25">
      <c r="A288" s="3">
        <v>295</v>
      </c>
      <c r="B288" s="216" t="s">
        <v>42</v>
      </c>
      <c r="C288" s="7">
        <f>INDEX(Data!M:M,MATCH(Q288,Data!AM:AM,0))</f>
        <v>0</v>
      </c>
      <c r="D288" s="7">
        <f>INDEX(Data!O:O,MATCH(Q288,Data!AM:AM,0))</f>
        <v>0</v>
      </c>
      <c r="E288" t="e">
        <f>INDEX(Data!T:T,MATCH($P288,Data!$AL:$AL,0))</f>
        <v>#N/A</v>
      </c>
      <c r="F288" t="e">
        <f>INDEX(Data!P:P,MATCH($P288,Data!$AL:$AL,0))</f>
        <v>#N/A</v>
      </c>
      <c r="G288" t="e">
        <f>INDEX(Data!Z:Z,MATCH($P288,Data!$AL:$AL,0))</f>
        <v>#N/A</v>
      </c>
      <c r="H288" t="e">
        <f>INDEX(Data!AA:AA,MATCH($P288,Data!$AL:$AL,0))</f>
        <v>#N/A</v>
      </c>
      <c r="I288" t="e">
        <f>INDEX(Data!AB:AB,MATCH($P288,Data!$AL:$AL,0))</f>
        <v>#N/A</v>
      </c>
      <c r="J288" t="e">
        <f>INDEX(Data!V:V,MATCH($P288,Data!$AL:$AL,0))</f>
        <v>#N/A</v>
      </c>
      <c r="K288" t="e">
        <f>INDEX(Data!W:W,MATCH($P288,Data!$AL:$AL,0))</f>
        <v>#N/A</v>
      </c>
      <c r="L288" t="e">
        <f>INDEX(Data!X:X,MATCH($P288,Data!$AL:$AL,0))</f>
        <v>#N/A</v>
      </c>
      <c r="M288" t="e">
        <f>INDEX(Data!AD:AD,MATCH($P288,Data!$AL:$AL,0))</f>
        <v>#N/A</v>
      </c>
      <c r="N288" t="e">
        <f>INDEX(Data!AF:AF,MATCH($P288,Data!$AL:$AL,0))</f>
        <v>#N/A</v>
      </c>
      <c r="O288" t="e">
        <f>INDEX(Data!Q:Q,MATCH($P288,Data!$AL:$AL,0))</f>
        <v>#N/A</v>
      </c>
      <c r="Q288" s="3" t="str">
        <f t="shared" si="4"/>
        <v>ACL</v>
      </c>
    </row>
    <row r="289" spans="1:17" x14ac:dyDescent="0.25">
      <c r="A289" s="3">
        <v>296</v>
      </c>
      <c r="B289" s="216" t="s">
        <v>43</v>
      </c>
      <c r="C289" s="7">
        <f>INDEX(Data!M:M,MATCH(Q289,Data!AM:AM,0))</f>
        <v>0</v>
      </c>
      <c r="D289" s="7">
        <f>INDEX(Data!O:O,MATCH(Q289,Data!AM:AM,0))</f>
        <v>0</v>
      </c>
      <c r="E289" t="e">
        <f>INDEX(Data!T:T,MATCH($P289,Data!$AL:$AL,0))</f>
        <v>#N/A</v>
      </c>
      <c r="F289" t="e">
        <f>INDEX(Data!P:P,MATCH($P289,Data!$AL:$AL,0))</f>
        <v>#N/A</v>
      </c>
      <c r="G289" t="e">
        <f>INDEX(Data!Z:Z,MATCH($P289,Data!$AL:$AL,0))</f>
        <v>#N/A</v>
      </c>
      <c r="H289" t="e">
        <f>INDEX(Data!AA:AA,MATCH($P289,Data!$AL:$AL,0))</f>
        <v>#N/A</v>
      </c>
      <c r="I289" t="e">
        <f>INDEX(Data!AB:AB,MATCH($P289,Data!$AL:$AL,0))</f>
        <v>#N/A</v>
      </c>
      <c r="J289" t="e">
        <f>INDEX(Data!V:V,MATCH($P289,Data!$AL:$AL,0))</f>
        <v>#N/A</v>
      </c>
      <c r="K289" t="e">
        <f>INDEX(Data!W:W,MATCH($P289,Data!$AL:$AL,0))</f>
        <v>#N/A</v>
      </c>
      <c r="L289" t="e">
        <f>INDEX(Data!X:X,MATCH($P289,Data!$AL:$AL,0))</f>
        <v>#N/A</v>
      </c>
      <c r="M289" t="e">
        <f>INDEX(Data!AD:AD,MATCH($P289,Data!$AL:$AL,0))</f>
        <v>#N/A</v>
      </c>
      <c r="N289" t="e">
        <f>INDEX(Data!AF:AF,MATCH($P289,Data!$AL:$AL,0))</f>
        <v>#N/A</v>
      </c>
      <c r="O289" t="e">
        <f>INDEX(Data!Q:Q,MATCH($P289,Data!$AL:$AL,0))</f>
        <v>#N/A</v>
      </c>
      <c r="Q289" s="3" t="str">
        <f t="shared" si="4"/>
        <v>SPCL</v>
      </c>
    </row>
    <row r="290" spans="1:17" x14ac:dyDescent="0.25">
      <c r="A290" s="4">
        <v>297</v>
      </c>
      <c r="B290" s="217" t="s">
        <v>44</v>
      </c>
      <c r="C290" s="8">
        <f>INDEX(Data!M:M,MATCH(Q290,Data!AM:AM,0))</f>
        <v>0</v>
      </c>
      <c r="D290" s="8">
        <f>INDEX(Data!O:O,MATCH(Q290,Data!AM:AM,0))</f>
        <v>0</v>
      </c>
      <c r="E290" s="1" t="e">
        <f>INDEX(Data!T:T,MATCH($P290,Data!$AL:$AL,0))</f>
        <v>#N/A</v>
      </c>
      <c r="F290" s="1" t="e">
        <f>INDEX(Data!P:P,MATCH($P290,Data!$AL:$AL,0))</f>
        <v>#N/A</v>
      </c>
      <c r="G290" s="1" t="e">
        <f>INDEX(Data!Z:Z,MATCH($P290,Data!$AL:$AL,0))</f>
        <v>#N/A</v>
      </c>
      <c r="H290" s="1" t="e">
        <f>INDEX(Data!AA:AA,MATCH($P290,Data!$AL:$AL,0))</f>
        <v>#N/A</v>
      </c>
      <c r="I290" s="1" t="e">
        <f>INDEX(Data!AB:AB,MATCH($P290,Data!$AL:$AL,0))</f>
        <v>#N/A</v>
      </c>
      <c r="J290" s="1" t="e">
        <f>INDEX(Data!V:V,MATCH($P290,Data!$AL:$AL,0))</f>
        <v>#N/A</v>
      </c>
      <c r="K290" s="1" t="e">
        <f>INDEX(Data!W:W,MATCH($P290,Data!$AL:$AL,0))</f>
        <v>#N/A</v>
      </c>
      <c r="L290" s="1" t="e">
        <f>INDEX(Data!X:X,MATCH($P290,Data!$AL:$AL,0))</f>
        <v>#N/A</v>
      </c>
      <c r="M290" s="1" t="e">
        <f>INDEX(Data!AD:AD,MATCH($P290,Data!$AL:$AL,0))</f>
        <v>#N/A</v>
      </c>
      <c r="N290" s="1" t="e">
        <f>INDEX(Data!AF:AF,MATCH($P290,Data!$AL:$AL,0))</f>
        <v>#N/A</v>
      </c>
      <c r="O290" s="1" t="e">
        <f>INDEX(Data!Q:Q,MATCH($P290,Data!$AL:$AL,0))</f>
        <v>#N/A</v>
      </c>
      <c r="P290" s="1"/>
      <c r="Q290" s="4" t="str">
        <f t="shared" si="4"/>
        <v>SPACL</v>
      </c>
    </row>
    <row r="291" spans="1:17" x14ac:dyDescent="0.25">
      <c r="A291" s="3">
        <v>298</v>
      </c>
      <c r="B291" s="218" t="s">
        <v>40</v>
      </c>
      <c r="C291" s="6">
        <f>INDEX(Data!M:M,MATCH(Q291,Data!AM:AM,0))</f>
        <v>0</v>
      </c>
      <c r="D291" s="6">
        <f>INDEX(Data!O:O,MATCH(Q291,Data!AM:AM,0))</f>
        <v>0</v>
      </c>
      <c r="E291" s="2" t="e">
        <f>INDEX(Data!T:T,MATCH($P291,Data!$AL:$AL,0))</f>
        <v>#N/A</v>
      </c>
      <c r="F291" s="2" t="e">
        <f>INDEX(Data!P:P,MATCH($P291,Data!$AL:$AL,0))</f>
        <v>#N/A</v>
      </c>
      <c r="G291" s="2" t="e">
        <f>INDEX(Data!Z:Z,MATCH($P291,Data!$AL:$AL,0))</f>
        <v>#N/A</v>
      </c>
      <c r="H291" s="2" t="e">
        <f>INDEX(Data!AA:AA,MATCH($P291,Data!$AL:$AL,0))</f>
        <v>#N/A</v>
      </c>
      <c r="I291" s="2" t="e">
        <f>INDEX(Data!AB:AB,MATCH($P291,Data!$AL:$AL,0))</f>
        <v>#N/A</v>
      </c>
      <c r="J291" s="2" t="e">
        <f>INDEX(Data!V:V,MATCH($P291,Data!$AL:$AL,0))</f>
        <v>#N/A</v>
      </c>
      <c r="K291" s="2" t="e">
        <f>INDEX(Data!W:W,MATCH($P291,Data!$AL:$AL,0))</f>
        <v>#N/A</v>
      </c>
      <c r="L291" s="2" t="e">
        <f>INDEX(Data!X:X,MATCH($P291,Data!$AL:$AL,0))</f>
        <v>#N/A</v>
      </c>
      <c r="M291" s="2" t="e">
        <f>INDEX(Data!AD:AD,MATCH($P291,Data!$AL:$AL,0))</f>
        <v>#N/A</v>
      </c>
      <c r="N291" s="2" t="e">
        <f>INDEX(Data!AF:AF,MATCH($P291,Data!$AL:$AL,0))</f>
        <v>#N/A</v>
      </c>
      <c r="O291" s="2" t="e">
        <f>INDEX(Data!Q:Q,MATCH($P291,Data!$AL:$AL,0))</f>
        <v>#N/A</v>
      </c>
      <c r="Q291" s="3" t="str">
        <f t="shared" si="4"/>
        <v>NCL</v>
      </c>
    </row>
    <row r="292" spans="1:17" x14ac:dyDescent="0.25">
      <c r="A292" s="3">
        <v>299</v>
      </c>
      <c r="B292" s="216" t="s">
        <v>41</v>
      </c>
      <c r="C292" s="7">
        <f>INDEX(Data!M:M,MATCH(Q292,Data!AM:AM,0))</f>
        <v>0</v>
      </c>
      <c r="D292" s="7">
        <f>INDEX(Data!O:O,MATCH(Q292,Data!AM:AM,0))</f>
        <v>0</v>
      </c>
      <c r="E292" t="e">
        <f>INDEX(Data!T:T,MATCH($P292,Data!$AL:$AL,0))</f>
        <v>#N/A</v>
      </c>
      <c r="F292" t="e">
        <f>INDEX(Data!P:P,MATCH($P292,Data!$AL:$AL,0))</f>
        <v>#N/A</v>
      </c>
      <c r="G292" t="e">
        <f>INDEX(Data!Z:Z,MATCH($P292,Data!$AL:$AL,0))</f>
        <v>#N/A</v>
      </c>
      <c r="H292" t="e">
        <f>INDEX(Data!AA:AA,MATCH($P292,Data!$AL:$AL,0))</f>
        <v>#N/A</v>
      </c>
      <c r="I292" t="e">
        <f>INDEX(Data!AB:AB,MATCH($P292,Data!$AL:$AL,0))</f>
        <v>#N/A</v>
      </c>
      <c r="J292" t="e">
        <f>INDEX(Data!V:V,MATCH($P292,Data!$AL:$AL,0))</f>
        <v>#N/A</v>
      </c>
      <c r="K292" t="e">
        <f>INDEX(Data!W:W,MATCH($P292,Data!$AL:$AL,0))</f>
        <v>#N/A</v>
      </c>
      <c r="L292" t="e">
        <f>INDEX(Data!X:X,MATCH($P292,Data!$AL:$AL,0))</f>
        <v>#N/A</v>
      </c>
      <c r="M292" t="e">
        <f>INDEX(Data!AD:AD,MATCH($P292,Data!$AL:$AL,0))</f>
        <v>#N/A</v>
      </c>
      <c r="N292" t="e">
        <f>INDEX(Data!AF:AF,MATCH($P292,Data!$AL:$AL,0))</f>
        <v>#N/A</v>
      </c>
      <c r="O292" t="e">
        <f>INDEX(Data!Q:Q,MATCH($P292,Data!$AL:$AL,0))</f>
        <v>#N/A</v>
      </c>
      <c r="Q292" s="3" t="str">
        <f t="shared" si="4"/>
        <v>CL</v>
      </c>
    </row>
    <row r="293" spans="1:17" x14ac:dyDescent="0.25">
      <c r="A293" s="3">
        <v>300</v>
      </c>
      <c r="B293" s="216" t="s">
        <v>42</v>
      </c>
      <c r="C293" s="7">
        <f>INDEX(Data!M:M,MATCH(Q293,Data!AM:AM,0))</f>
        <v>0</v>
      </c>
      <c r="D293" s="7">
        <f>INDEX(Data!O:O,MATCH(Q293,Data!AM:AM,0))</f>
        <v>0</v>
      </c>
      <c r="E293" t="e">
        <f>INDEX(Data!T:T,MATCH($P293,Data!$AL:$AL,0))</f>
        <v>#N/A</v>
      </c>
      <c r="F293" t="e">
        <f>INDEX(Data!P:P,MATCH($P293,Data!$AL:$AL,0))</f>
        <v>#N/A</v>
      </c>
      <c r="G293" t="e">
        <f>INDEX(Data!Z:Z,MATCH($P293,Data!$AL:$AL,0))</f>
        <v>#N/A</v>
      </c>
      <c r="H293" t="e">
        <f>INDEX(Data!AA:AA,MATCH($P293,Data!$AL:$AL,0))</f>
        <v>#N/A</v>
      </c>
      <c r="I293" t="e">
        <f>INDEX(Data!AB:AB,MATCH($P293,Data!$AL:$AL,0))</f>
        <v>#N/A</v>
      </c>
      <c r="J293" t="e">
        <f>INDEX(Data!V:V,MATCH($P293,Data!$AL:$AL,0))</f>
        <v>#N/A</v>
      </c>
      <c r="K293" t="e">
        <f>INDEX(Data!W:W,MATCH($P293,Data!$AL:$AL,0))</f>
        <v>#N/A</v>
      </c>
      <c r="L293" t="e">
        <f>INDEX(Data!X:X,MATCH($P293,Data!$AL:$AL,0))</f>
        <v>#N/A</v>
      </c>
      <c r="M293" t="e">
        <f>INDEX(Data!AD:AD,MATCH($P293,Data!$AL:$AL,0))</f>
        <v>#N/A</v>
      </c>
      <c r="N293" t="e">
        <f>INDEX(Data!AF:AF,MATCH($P293,Data!$AL:$AL,0))</f>
        <v>#N/A</v>
      </c>
      <c r="O293" t="e">
        <f>INDEX(Data!Q:Q,MATCH($P293,Data!$AL:$AL,0))</f>
        <v>#N/A</v>
      </c>
      <c r="Q293" s="3" t="str">
        <f t="shared" si="4"/>
        <v>ACL</v>
      </c>
    </row>
    <row r="294" spans="1:17" x14ac:dyDescent="0.25">
      <c r="A294" s="3">
        <v>301</v>
      </c>
      <c r="B294" s="216" t="s">
        <v>43</v>
      </c>
      <c r="C294" s="7">
        <f>INDEX(Data!M:M,MATCH(Q294,Data!AM:AM,0))</f>
        <v>0</v>
      </c>
      <c r="D294" s="7">
        <f>INDEX(Data!O:O,MATCH(Q294,Data!AM:AM,0))</f>
        <v>0</v>
      </c>
      <c r="E294" t="e">
        <f>INDEX(Data!T:T,MATCH($P294,Data!$AL:$AL,0))</f>
        <v>#N/A</v>
      </c>
      <c r="F294" t="e">
        <f>INDEX(Data!P:P,MATCH($P294,Data!$AL:$AL,0))</f>
        <v>#N/A</v>
      </c>
      <c r="G294" t="e">
        <f>INDEX(Data!Z:Z,MATCH($P294,Data!$AL:$AL,0))</f>
        <v>#N/A</v>
      </c>
      <c r="H294" t="e">
        <f>INDEX(Data!AA:AA,MATCH($P294,Data!$AL:$AL,0))</f>
        <v>#N/A</v>
      </c>
      <c r="I294" t="e">
        <f>INDEX(Data!AB:AB,MATCH($P294,Data!$AL:$AL,0))</f>
        <v>#N/A</v>
      </c>
      <c r="J294" t="e">
        <f>INDEX(Data!V:V,MATCH($P294,Data!$AL:$AL,0))</f>
        <v>#N/A</v>
      </c>
      <c r="K294" t="e">
        <f>INDEX(Data!W:W,MATCH($P294,Data!$AL:$AL,0))</f>
        <v>#N/A</v>
      </c>
      <c r="L294" t="e">
        <f>INDEX(Data!X:X,MATCH($P294,Data!$AL:$AL,0))</f>
        <v>#N/A</v>
      </c>
      <c r="M294" t="e">
        <f>INDEX(Data!AD:AD,MATCH($P294,Data!$AL:$AL,0))</f>
        <v>#N/A</v>
      </c>
      <c r="N294" t="e">
        <f>INDEX(Data!AF:AF,MATCH($P294,Data!$AL:$AL,0))</f>
        <v>#N/A</v>
      </c>
      <c r="O294" t="e">
        <f>INDEX(Data!Q:Q,MATCH($P294,Data!$AL:$AL,0))</f>
        <v>#N/A</v>
      </c>
      <c r="Q294" s="3" t="str">
        <f t="shared" si="4"/>
        <v>SPCL</v>
      </c>
    </row>
    <row r="295" spans="1:17" x14ac:dyDescent="0.25">
      <c r="A295" s="4">
        <v>302</v>
      </c>
      <c r="B295" s="217" t="s">
        <v>44</v>
      </c>
      <c r="C295" s="8">
        <f>INDEX(Data!M:M,MATCH(Q295,Data!AM:AM,0))</f>
        <v>0</v>
      </c>
      <c r="D295" s="8">
        <f>INDEX(Data!O:O,MATCH(Q295,Data!AM:AM,0))</f>
        <v>0</v>
      </c>
      <c r="E295" s="1" t="e">
        <f>INDEX(Data!T:T,MATCH($P295,Data!$AL:$AL,0))</f>
        <v>#N/A</v>
      </c>
      <c r="F295" s="1" t="e">
        <f>INDEX(Data!P:P,MATCH($P295,Data!$AL:$AL,0))</f>
        <v>#N/A</v>
      </c>
      <c r="G295" s="1" t="e">
        <f>INDEX(Data!Z:Z,MATCH($P295,Data!$AL:$AL,0))</f>
        <v>#N/A</v>
      </c>
      <c r="H295" s="1" t="e">
        <f>INDEX(Data!AA:AA,MATCH($P295,Data!$AL:$AL,0))</f>
        <v>#N/A</v>
      </c>
      <c r="I295" s="1" t="e">
        <f>INDEX(Data!AB:AB,MATCH($P295,Data!$AL:$AL,0))</f>
        <v>#N/A</v>
      </c>
      <c r="J295" s="1" t="e">
        <f>INDEX(Data!V:V,MATCH($P295,Data!$AL:$AL,0))</f>
        <v>#N/A</v>
      </c>
      <c r="K295" s="1" t="e">
        <f>INDEX(Data!W:W,MATCH($P295,Data!$AL:$AL,0))</f>
        <v>#N/A</v>
      </c>
      <c r="L295" s="1" t="e">
        <f>INDEX(Data!X:X,MATCH($P295,Data!$AL:$AL,0))</f>
        <v>#N/A</v>
      </c>
      <c r="M295" s="1" t="e">
        <f>INDEX(Data!AD:AD,MATCH($P295,Data!$AL:$AL,0))</f>
        <v>#N/A</v>
      </c>
      <c r="N295" s="1" t="e">
        <f>INDEX(Data!AF:AF,MATCH($P295,Data!$AL:$AL,0))</f>
        <v>#N/A</v>
      </c>
      <c r="O295" s="1" t="e">
        <f>INDEX(Data!Q:Q,MATCH($P295,Data!$AL:$AL,0))</f>
        <v>#N/A</v>
      </c>
      <c r="P295" s="1"/>
      <c r="Q295" s="4" t="str">
        <f t="shared" si="4"/>
        <v>SPACL</v>
      </c>
    </row>
    <row r="296" spans="1:17" x14ac:dyDescent="0.25">
      <c r="A296" s="3">
        <v>303</v>
      </c>
      <c r="B296" s="218" t="s">
        <v>40</v>
      </c>
      <c r="C296" s="6">
        <f>INDEX(Data!M:M,MATCH(Q296,Data!AM:AM,0))</f>
        <v>0</v>
      </c>
      <c r="D296" s="6">
        <f>INDEX(Data!O:O,MATCH(Q296,Data!AM:AM,0))</f>
        <v>0</v>
      </c>
      <c r="E296" s="2" t="e">
        <f>INDEX(Data!T:T,MATCH($P296,Data!$AL:$AL,0))</f>
        <v>#N/A</v>
      </c>
      <c r="F296" s="2" t="e">
        <f>INDEX(Data!P:P,MATCH($P296,Data!$AL:$AL,0))</f>
        <v>#N/A</v>
      </c>
      <c r="G296" s="2" t="e">
        <f>INDEX(Data!Z:Z,MATCH($P296,Data!$AL:$AL,0))</f>
        <v>#N/A</v>
      </c>
      <c r="H296" s="2" t="e">
        <f>INDEX(Data!AA:AA,MATCH($P296,Data!$AL:$AL,0))</f>
        <v>#N/A</v>
      </c>
      <c r="I296" s="2" t="e">
        <f>INDEX(Data!AB:AB,MATCH($P296,Data!$AL:$AL,0))</f>
        <v>#N/A</v>
      </c>
      <c r="J296" s="2" t="e">
        <f>INDEX(Data!V:V,MATCH($P296,Data!$AL:$AL,0))</f>
        <v>#N/A</v>
      </c>
      <c r="K296" s="2" t="e">
        <f>INDEX(Data!W:W,MATCH($P296,Data!$AL:$AL,0))</f>
        <v>#N/A</v>
      </c>
      <c r="L296" s="2" t="e">
        <f>INDEX(Data!X:X,MATCH($P296,Data!$AL:$AL,0))</f>
        <v>#N/A</v>
      </c>
      <c r="M296" s="2" t="e">
        <f>INDEX(Data!AD:AD,MATCH($P296,Data!$AL:$AL,0))</f>
        <v>#N/A</v>
      </c>
      <c r="N296" s="2" t="e">
        <f>INDEX(Data!AF:AF,MATCH($P296,Data!$AL:$AL,0))</f>
        <v>#N/A</v>
      </c>
      <c r="O296" s="2" t="e">
        <f>INDEX(Data!Q:Q,MATCH($P296,Data!$AL:$AL,0))</f>
        <v>#N/A</v>
      </c>
      <c r="Q296" s="3" t="str">
        <f t="shared" si="4"/>
        <v>NCL</v>
      </c>
    </row>
    <row r="297" spans="1:17" x14ac:dyDescent="0.25">
      <c r="A297" s="3">
        <v>304</v>
      </c>
      <c r="B297" s="216" t="s">
        <v>41</v>
      </c>
      <c r="C297" s="7">
        <f>INDEX(Data!M:M,MATCH(Q297,Data!AM:AM,0))</f>
        <v>0</v>
      </c>
      <c r="D297" s="7">
        <f>INDEX(Data!O:O,MATCH(Q297,Data!AM:AM,0))</f>
        <v>0</v>
      </c>
      <c r="E297" t="e">
        <f>INDEX(Data!T:T,MATCH($P297,Data!$AL:$AL,0))</f>
        <v>#N/A</v>
      </c>
      <c r="F297" t="e">
        <f>INDEX(Data!P:P,MATCH($P297,Data!$AL:$AL,0))</f>
        <v>#N/A</v>
      </c>
      <c r="G297" t="e">
        <f>INDEX(Data!Z:Z,MATCH($P297,Data!$AL:$AL,0))</f>
        <v>#N/A</v>
      </c>
      <c r="H297" t="e">
        <f>INDEX(Data!AA:AA,MATCH($P297,Data!$AL:$AL,0))</f>
        <v>#N/A</v>
      </c>
      <c r="I297" t="e">
        <f>INDEX(Data!AB:AB,MATCH($P297,Data!$AL:$AL,0))</f>
        <v>#N/A</v>
      </c>
      <c r="J297" t="e">
        <f>INDEX(Data!V:V,MATCH($P297,Data!$AL:$AL,0))</f>
        <v>#N/A</v>
      </c>
      <c r="K297" t="e">
        <f>INDEX(Data!W:W,MATCH($P297,Data!$AL:$AL,0))</f>
        <v>#N/A</v>
      </c>
      <c r="L297" t="e">
        <f>INDEX(Data!X:X,MATCH($P297,Data!$AL:$AL,0))</f>
        <v>#N/A</v>
      </c>
      <c r="M297" t="e">
        <f>INDEX(Data!AD:AD,MATCH($P297,Data!$AL:$AL,0))</f>
        <v>#N/A</v>
      </c>
      <c r="N297" t="e">
        <f>INDEX(Data!AF:AF,MATCH($P297,Data!$AL:$AL,0))</f>
        <v>#N/A</v>
      </c>
      <c r="O297" t="e">
        <f>INDEX(Data!Q:Q,MATCH($P297,Data!$AL:$AL,0))</f>
        <v>#N/A</v>
      </c>
      <c r="Q297" s="3" t="str">
        <f t="shared" si="4"/>
        <v>CL</v>
      </c>
    </row>
    <row r="298" spans="1:17" x14ac:dyDescent="0.25">
      <c r="A298" s="3">
        <v>305</v>
      </c>
      <c r="B298" s="216" t="s">
        <v>42</v>
      </c>
      <c r="C298" s="7">
        <f>INDEX(Data!M:M,MATCH(Q298,Data!AM:AM,0))</f>
        <v>0</v>
      </c>
      <c r="D298" s="7">
        <f>INDEX(Data!O:O,MATCH(Q298,Data!AM:AM,0))</f>
        <v>0</v>
      </c>
      <c r="E298" t="e">
        <f>INDEX(Data!T:T,MATCH($P298,Data!$AL:$AL,0))</f>
        <v>#N/A</v>
      </c>
      <c r="F298" t="e">
        <f>INDEX(Data!P:P,MATCH($P298,Data!$AL:$AL,0))</f>
        <v>#N/A</v>
      </c>
      <c r="G298" t="e">
        <f>INDEX(Data!Z:Z,MATCH($P298,Data!$AL:$AL,0))</f>
        <v>#N/A</v>
      </c>
      <c r="H298" t="e">
        <f>INDEX(Data!AA:AA,MATCH($P298,Data!$AL:$AL,0))</f>
        <v>#N/A</v>
      </c>
      <c r="I298" t="e">
        <f>INDEX(Data!AB:AB,MATCH($P298,Data!$AL:$AL,0))</f>
        <v>#N/A</v>
      </c>
      <c r="J298" t="e">
        <f>INDEX(Data!V:V,MATCH($P298,Data!$AL:$AL,0))</f>
        <v>#N/A</v>
      </c>
      <c r="K298" t="e">
        <f>INDEX(Data!W:W,MATCH($P298,Data!$AL:$AL,0))</f>
        <v>#N/A</v>
      </c>
      <c r="L298" t="e">
        <f>INDEX(Data!X:X,MATCH($P298,Data!$AL:$AL,0))</f>
        <v>#N/A</v>
      </c>
      <c r="M298" t="e">
        <f>INDEX(Data!AD:AD,MATCH($P298,Data!$AL:$AL,0))</f>
        <v>#N/A</v>
      </c>
      <c r="N298" t="e">
        <f>INDEX(Data!AF:AF,MATCH($P298,Data!$AL:$AL,0))</f>
        <v>#N/A</v>
      </c>
      <c r="O298" t="e">
        <f>INDEX(Data!Q:Q,MATCH($P298,Data!$AL:$AL,0))</f>
        <v>#N/A</v>
      </c>
      <c r="Q298" s="3" t="str">
        <f t="shared" si="4"/>
        <v>ACL</v>
      </c>
    </row>
    <row r="299" spans="1:17" x14ac:dyDescent="0.25">
      <c r="A299" s="3">
        <v>306</v>
      </c>
      <c r="B299" s="216" t="s">
        <v>43</v>
      </c>
      <c r="C299" s="7">
        <f>INDEX(Data!M:M,MATCH(Q299,Data!AM:AM,0))</f>
        <v>0</v>
      </c>
      <c r="D299" s="7">
        <f>INDEX(Data!O:O,MATCH(Q299,Data!AM:AM,0))</f>
        <v>0</v>
      </c>
      <c r="E299" t="e">
        <f>INDEX(Data!T:T,MATCH($P299,Data!$AL:$AL,0))</f>
        <v>#N/A</v>
      </c>
      <c r="F299" t="e">
        <f>INDEX(Data!P:P,MATCH($P299,Data!$AL:$AL,0))</f>
        <v>#N/A</v>
      </c>
      <c r="G299" t="e">
        <f>INDEX(Data!Z:Z,MATCH($P299,Data!$AL:$AL,0))</f>
        <v>#N/A</v>
      </c>
      <c r="H299" t="e">
        <f>INDEX(Data!AA:AA,MATCH($P299,Data!$AL:$AL,0))</f>
        <v>#N/A</v>
      </c>
      <c r="I299" t="e">
        <f>INDEX(Data!AB:AB,MATCH($P299,Data!$AL:$AL,0))</f>
        <v>#N/A</v>
      </c>
      <c r="J299" t="e">
        <f>INDEX(Data!V:V,MATCH($P299,Data!$AL:$AL,0))</f>
        <v>#N/A</v>
      </c>
      <c r="K299" t="e">
        <f>INDEX(Data!W:W,MATCH($P299,Data!$AL:$AL,0))</f>
        <v>#N/A</v>
      </c>
      <c r="L299" t="e">
        <f>INDEX(Data!X:X,MATCH($P299,Data!$AL:$AL,0))</f>
        <v>#N/A</v>
      </c>
      <c r="M299" t="e">
        <f>INDEX(Data!AD:AD,MATCH($P299,Data!$AL:$AL,0))</f>
        <v>#N/A</v>
      </c>
      <c r="N299" t="e">
        <f>INDEX(Data!AF:AF,MATCH($P299,Data!$AL:$AL,0))</f>
        <v>#N/A</v>
      </c>
      <c r="O299" t="e">
        <f>INDEX(Data!Q:Q,MATCH($P299,Data!$AL:$AL,0))</f>
        <v>#N/A</v>
      </c>
      <c r="Q299" s="3" t="str">
        <f t="shared" si="4"/>
        <v>SPCL</v>
      </c>
    </row>
    <row r="300" spans="1:17" x14ac:dyDescent="0.25">
      <c r="A300" s="4">
        <v>307</v>
      </c>
      <c r="B300" s="217" t="s">
        <v>44</v>
      </c>
      <c r="C300" s="8">
        <f>INDEX(Data!M:M,MATCH(Q300,Data!AM:AM,0))</f>
        <v>0</v>
      </c>
      <c r="D300" s="8">
        <f>INDEX(Data!O:O,MATCH(Q300,Data!AM:AM,0))</f>
        <v>0</v>
      </c>
      <c r="E300" s="1" t="e">
        <f>INDEX(Data!T:T,MATCH($P300,Data!$AL:$AL,0))</f>
        <v>#N/A</v>
      </c>
      <c r="F300" s="1" t="e">
        <f>INDEX(Data!P:P,MATCH($P300,Data!$AL:$AL,0))</f>
        <v>#N/A</v>
      </c>
      <c r="G300" s="1" t="e">
        <f>INDEX(Data!Z:Z,MATCH($P300,Data!$AL:$AL,0))</f>
        <v>#N/A</v>
      </c>
      <c r="H300" s="1" t="e">
        <f>INDEX(Data!AA:AA,MATCH($P300,Data!$AL:$AL,0))</f>
        <v>#N/A</v>
      </c>
      <c r="I300" s="1" t="e">
        <f>INDEX(Data!AB:AB,MATCH($P300,Data!$AL:$AL,0))</f>
        <v>#N/A</v>
      </c>
      <c r="J300" s="1" t="e">
        <f>INDEX(Data!V:V,MATCH($P300,Data!$AL:$AL,0))</f>
        <v>#N/A</v>
      </c>
      <c r="K300" s="1" t="e">
        <f>INDEX(Data!W:W,MATCH($P300,Data!$AL:$AL,0))</f>
        <v>#N/A</v>
      </c>
      <c r="L300" s="1" t="e">
        <f>INDEX(Data!X:X,MATCH($P300,Data!$AL:$AL,0))</f>
        <v>#N/A</v>
      </c>
      <c r="M300" s="1" t="e">
        <f>INDEX(Data!AD:AD,MATCH($P300,Data!$AL:$AL,0))</f>
        <v>#N/A</v>
      </c>
      <c r="N300" s="1" t="e">
        <f>INDEX(Data!AF:AF,MATCH($P300,Data!$AL:$AL,0))</f>
        <v>#N/A</v>
      </c>
      <c r="O300" s="1" t="e">
        <f>INDEX(Data!Q:Q,MATCH($P300,Data!$AL:$AL,0))</f>
        <v>#N/A</v>
      </c>
      <c r="P300" s="1"/>
      <c r="Q300" s="4" t="str">
        <f t="shared" si="4"/>
        <v>SPACL</v>
      </c>
    </row>
    <row r="301" spans="1:17" x14ac:dyDescent="0.25">
      <c r="A301" s="3">
        <v>308</v>
      </c>
      <c r="B301" s="218" t="s">
        <v>40</v>
      </c>
      <c r="C301" s="6">
        <f>INDEX(Data!M:M,MATCH(Q301,Data!AM:AM,0))</f>
        <v>0</v>
      </c>
      <c r="D301" s="6">
        <f>INDEX(Data!O:O,MATCH(Q301,Data!AM:AM,0))</f>
        <v>0</v>
      </c>
      <c r="E301" s="2" t="e">
        <f>INDEX(Data!T:T,MATCH($P301,Data!$AL:$AL,0))</f>
        <v>#N/A</v>
      </c>
      <c r="F301" s="2" t="e">
        <f>INDEX(Data!P:P,MATCH($P301,Data!$AL:$AL,0))</f>
        <v>#N/A</v>
      </c>
      <c r="G301" s="2" t="e">
        <f>INDEX(Data!Z:Z,MATCH($P301,Data!$AL:$AL,0))</f>
        <v>#N/A</v>
      </c>
      <c r="H301" s="2" t="e">
        <f>INDEX(Data!AA:AA,MATCH($P301,Data!$AL:$AL,0))</f>
        <v>#N/A</v>
      </c>
      <c r="I301" s="2" t="e">
        <f>INDEX(Data!AB:AB,MATCH($P301,Data!$AL:$AL,0))</f>
        <v>#N/A</v>
      </c>
      <c r="J301" s="2" t="e">
        <f>INDEX(Data!V:V,MATCH($P301,Data!$AL:$AL,0))</f>
        <v>#N/A</v>
      </c>
      <c r="K301" s="2" t="e">
        <f>INDEX(Data!W:W,MATCH($P301,Data!$AL:$AL,0))</f>
        <v>#N/A</v>
      </c>
      <c r="L301" s="2" t="e">
        <f>INDEX(Data!X:X,MATCH($P301,Data!$AL:$AL,0))</f>
        <v>#N/A</v>
      </c>
      <c r="M301" s="2" t="e">
        <f>INDEX(Data!AD:AD,MATCH($P301,Data!$AL:$AL,0))</f>
        <v>#N/A</v>
      </c>
      <c r="N301" s="2" t="e">
        <f>INDEX(Data!AF:AF,MATCH($P301,Data!$AL:$AL,0))</f>
        <v>#N/A</v>
      </c>
      <c r="O301" s="2" t="e">
        <f>INDEX(Data!Q:Q,MATCH($P301,Data!$AL:$AL,0))</f>
        <v>#N/A</v>
      </c>
      <c r="Q301" s="3" t="str">
        <f t="shared" si="4"/>
        <v>NCL</v>
      </c>
    </row>
    <row r="302" spans="1:17" x14ac:dyDescent="0.25">
      <c r="A302" s="3">
        <v>309</v>
      </c>
      <c r="B302" s="216" t="s">
        <v>41</v>
      </c>
      <c r="C302" s="7">
        <f>INDEX(Data!M:M,MATCH(Q302,Data!AM:AM,0))</f>
        <v>0</v>
      </c>
      <c r="D302" s="7">
        <f>INDEX(Data!O:O,MATCH(Q302,Data!AM:AM,0))</f>
        <v>0</v>
      </c>
      <c r="E302" t="e">
        <f>INDEX(Data!T:T,MATCH($P302,Data!$AL:$AL,0))</f>
        <v>#N/A</v>
      </c>
      <c r="F302" t="e">
        <f>INDEX(Data!P:P,MATCH($P302,Data!$AL:$AL,0))</f>
        <v>#N/A</v>
      </c>
      <c r="G302" t="e">
        <f>INDEX(Data!Z:Z,MATCH($P302,Data!$AL:$AL,0))</f>
        <v>#N/A</v>
      </c>
      <c r="H302" t="e">
        <f>INDEX(Data!AA:AA,MATCH($P302,Data!$AL:$AL,0))</f>
        <v>#N/A</v>
      </c>
      <c r="I302" t="e">
        <f>INDEX(Data!AB:AB,MATCH($P302,Data!$AL:$AL,0))</f>
        <v>#N/A</v>
      </c>
      <c r="J302" t="e">
        <f>INDEX(Data!V:V,MATCH($P302,Data!$AL:$AL,0))</f>
        <v>#N/A</v>
      </c>
      <c r="K302" t="e">
        <f>INDEX(Data!W:W,MATCH($P302,Data!$AL:$AL,0))</f>
        <v>#N/A</v>
      </c>
      <c r="L302" t="e">
        <f>INDEX(Data!X:X,MATCH($P302,Data!$AL:$AL,0))</f>
        <v>#N/A</v>
      </c>
      <c r="M302" t="e">
        <f>INDEX(Data!AD:AD,MATCH($P302,Data!$AL:$AL,0))</f>
        <v>#N/A</v>
      </c>
      <c r="N302" t="e">
        <f>INDEX(Data!AF:AF,MATCH($P302,Data!$AL:$AL,0))</f>
        <v>#N/A</v>
      </c>
      <c r="O302" t="e">
        <f>INDEX(Data!Q:Q,MATCH($P302,Data!$AL:$AL,0))</f>
        <v>#N/A</v>
      </c>
      <c r="Q302" s="3" t="str">
        <f t="shared" si="4"/>
        <v>CL</v>
      </c>
    </row>
    <row r="303" spans="1:17" x14ac:dyDescent="0.25">
      <c r="A303" s="3">
        <v>310</v>
      </c>
      <c r="B303" s="216" t="s">
        <v>42</v>
      </c>
      <c r="C303" s="7">
        <f>INDEX(Data!M:M,MATCH(Q303,Data!AM:AM,0))</f>
        <v>0</v>
      </c>
      <c r="D303" s="7">
        <f>INDEX(Data!O:O,MATCH(Q303,Data!AM:AM,0))</f>
        <v>0</v>
      </c>
      <c r="E303" t="e">
        <f>INDEX(Data!T:T,MATCH($P303,Data!$AL:$AL,0))</f>
        <v>#N/A</v>
      </c>
      <c r="F303" t="e">
        <f>INDEX(Data!P:P,MATCH($P303,Data!$AL:$AL,0))</f>
        <v>#N/A</v>
      </c>
      <c r="G303" t="e">
        <f>INDEX(Data!Z:Z,MATCH($P303,Data!$AL:$AL,0))</f>
        <v>#N/A</v>
      </c>
      <c r="H303" t="e">
        <f>INDEX(Data!AA:AA,MATCH($P303,Data!$AL:$AL,0))</f>
        <v>#N/A</v>
      </c>
      <c r="I303" t="e">
        <f>INDEX(Data!AB:AB,MATCH($P303,Data!$AL:$AL,0))</f>
        <v>#N/A</v>
      </c>
      <c r="J303" t="e">
        <f>INDEX(Data!V:V,MATCH($P303,Data!$AL:$AL,0))</f>
        <v>#N/A</v>
      </c>
      <c r="K303" t="e">
        <f>INDEX(Data!W:W,MATCH($P303,Data!$AL:$AL,0))</f>
        <v>#N/A</v>
      </c>
      <c r="L303" t="e">
        <f>INDEX(Data!X:X,MATCH($P303,Data!$AL:$AL,0))</f>
        <v>#N/A</v>
      </c>
      <c r="M303" t="e">
        <f>INDEX(Data!AD:AD,MATCH($P303,Data!$AL:$AL,0))</f>
        <v>#N/A</v>
      </c>
      <c r="N303" t="e">
        <f>INDEX(Data!AF:AF,MATCH($P303,Data!$AL:$AL,0))</f>
        <v>#N/A</v>
      </c>
      <c r="O303" t="e">
        <f>INDEX(Data!Q:Q,MATCH($P303,Data!$AL:$AL,0))</f>
        <v>#N/A</v>
      </c>
      <c r="Q303" s="3" t="str">
        <f t="shared" si="4"/>
        <v>ACL</v>
      </c>
    </row>
    <row r="304" spans="1:17" x14ac:dyDescent="0.25">
      <c r="A304" s="3">
        <v>311</v>
      </c>
      <c r="B304" s="216" t="s">
        <v>43</v>
      </c>
      <c r="C304" s="7">
        <f>INDEX(Data!M:M,MATCH(Q304,Data!AM:AM,0))</f>
        <v>0</v>
      </c>
      <c r="D304" s="7">
        <f>INDEX(Data!O:O,MATCH(Q304,Data!AM:AM,0))</f>
        <v>0</v>
      </c>
      <c r="E304" t="e">
        <f>INDEX(Data!T:T,MATCH($P304,Data!$AL:$AL,0))</f>
        <v>#N/A</v>
      </c>
      <c r="F304" t="e">
        <f>INDEX(Data!P:P,MATCH($P304,Data!$AL:$AL,0))</f>
        <v>#N/A</v>
      </c>
      <c r="G304" t="e">
        <f>INDEX(Data!Z:Z,MATCH($P304,Data!$AL:$AL,0))</f>
        <v>#N/A</v>
      </c>
      <c r="H304" t="e">
        <f>INDEX(Data!AA:AA,MATCH($P304,Data!$AL:$AL,0))</f>
        <v>#N/A</v>
      </c>
      <c r="I304" t="e">
        <f>INDEX(Data!AB:AB,MATCH($P304,Data!$AL:$AL,0))</f>
        <v>#N/A</v>
      </c>
      <c r="J304" t="e">
        <f>INDEX(Data!V:V,MATCH($P304,Data!$AL:$AL,0))</f>
        <v>#N/A</v>
      </c>
      <c r="K304" t="e">
        <f>INDEX(Data!W:W,MATCH($P304,Data!$AL:$AL,0))</f>
        <v>#N/A</v>
      </c>
      <c r="L304" t="e">
        <f>INDEX(Data!X:X,MATCH($P304,Data!$AL:$AL,0))</f>
        <v>#N/A</v>
      </c>
      <c r="M304" t="e">
        <f>INDEX(Data!AD:AD,MATCH($P304,Data!$AL:$AL,0))</f>
        <v>#N/A</v>
      </c>
      <c r="N304" t="e">
        <f>INDEX(Data!AF:AF,MATCH($P304,Data!$AL:$AL,0))</f>
        <v>#N/A</v>
      </c>
      <c r="O304" t="e">
        <f>INDEX(Data!Q:Q,MATCH($P304,Data!$AL:$AL,0))</f>
        <v>#N/A</v>
      </c>
      <c r="Q304" s="3" t="str">
        <f t="shared" si="4"/>
        <v>SPCL</v>
      </c>
    </row>
    <row r="305" spans="1:17" x14ac:dyDescent="0.25">
      <c r="A305" s="4">
        <v>312</v>
      </c>
      <c r="B305" s="217" t="s">
        <v>44</v>
      </c>
      <c r="C305" s="8">
        <f>INDEX(Data!M:M,MATCH(Q305,Data!AM:AM,0))</f>
        <v>0</v>
      </c>
      <c r="D305" s="8">
        <f>INDEX(Data!O:O,MATCH(Q305,Data!AM:AM,0))</f>
        <v>0</v>
      </c>
      <c r="E305" s="1" t="e">
        <f>INDEX(Data!T:T,MATCH($P305,Data!$AL:$AL,0))</f>
        <v>#N/A</v>
      </c>
      <c r="F305" s="1" t="e">
        <f>INDEX(Data!P:P,MATCH($P305,Data!$AL:$AL,0))</f>
        <v>#N/A</v>
      </c>
      <c r="G305" s="1" t="e">
        <f>INDEX(Data!Z:Z,MATCH($P305,Data!$AL:$AL,0))</f>
        <v>#N/A</v>
      </c>
      <c r="H305" s="1" t="e">
        <f>INDEX(Data!AA:AA,MATCH($P305,Data!$AL:$AL,0))</f>
        <v>#N/A</v>
      </c>
      <c r="I305" s="1" t="e">
        <f>INDEX(Data!AB:AB,MATCH($P305,Data!$AL:$AL,0))</f>
        <v>#N/A</v>
      </c>
      <c r="J305" s="1" t="e">
        <f>INDEX(Data!V:V,MATCH($P305,Data!$AL:$AL,0))</f>
        <v>#N/A</v>
      </c>
      <c r="K305" s="1" t="e">
        <f>INDEX(Data!W:W,MATCH($P305,Data!$AL:$AL,0))</f>
        <v>#N/A</v>
      </c>
      <c r="L305" s="1" t="e">
        <f>INDEX(Data!X:X,MATCH($P305,Data!$AL:$AL,0))</f>
        <v>#N/A</v>
      </c>
      <c r="M305" s="1" t="e">
        <f>INDEX(Data!AD:AD,MATCH($P305,Data!$AL:$AL,0))</f>
        <v>#N/A</v>
      </c>
      <c r="N305" s="1" t="e">
        <f>INDEX(Data!AF:AF,MATCH($P305,Data!$AL:$AL,0))</f>
        <v>#N/A</v>
      </c>
      <c r="O305" s="1" t="e">
        <f>INDEX(Data!Q:Q,MATCH($P305,Data!$AL:$AL,0))</f>
        <v>#N/A</v>
      </c>
      <c r="P305" s="1"/>
      <c r="Q305" s="4" t="str">
        <f t="shared" si="4"/>
        <v>SPACL</v>
      </c>
    </row>
    <row r="306" spans="1:17" x14ac:dyDescent="0.25">
      <c r="A306" s="3">
        <v>313</v>
      </c>
      <c r="B306" s="218" t="s">
        <v>40</v>
      </c>
      <c r="C306" s="6">
        <f>INDEX(Data!M:M,MATCH(Q306,Data!AM:AM,0))</f>
        <v>0</v>
      </c>
      <c r="D306" s="6">
        <f>INDEX(Data!O:O,MATCH(Q306,Data!AM:AM,0))</f>
        <v>0</v>
      </c>
      <c r="E306" s="2" t="e">
        <f>INDEX(Data!T:T,MATCH($P306,Data!$AL:$AL,0))</f>
        <v>#N/A</v>
      </c>
      <c r="F306" s="2" t="e">
        <f>INDEX(Data!P:P,MATCH($P306,Data!$AL:$AL,0))</f>
        <v>#N/A</v>
      </c>
      <c r="G306" s="2" t="e">
        <f>INDEX(Data!Z:Z,MATCH($P306,Data!$AL:$AL,0))</f>
        <v>#N/A</v>
      </c>
      <c r="H306" s="2" t="e">
        <f>INDEX(Data!AA:AA,MATCH($P306,Data!$AL:$AL,0))</f>
        <v>#N/A</v>
      </c>
      <c r="I306" s="2" t="e">
        <f>INDEX(Data!AB:AB,MATCH($P306,Data!$AL:$AL,0))</f>
        <v>#N/A</v>
      </c>
      <c r="J306" s="2" t="e">
        <f>INDEX(Data!V:V,MATCH($P306,Data!$AL:$AL,0))</f>
        <v>#N/A</v>
      </c>
      <c r="K306" s="2" t="e">
        <f>INDEX(Data!W:W,MATCH($P306,Data!$AL:$AL,0))</f>
        <v>#N/A</v>
      </c>
      <c r="L306" s="2" t="e">
        <f>INDEX(Data!X:X,MATCH($P306,Data!$AL:$AL,0))</f>
        <v>#N/A</v>
      </c>
      <c r="M306" s="2" t="e">
        <f>INDEX(Data!AD:AD,MATCH($P306,Data!$AL:$AL,0))</f>
        <v>#N/A</v>
      </c>
      <c r="N306" s="2" t="e">
        <f>INDEX(Data!AF:AF,MATCH($P306,Data!$AL:$AL,0))</f>
        <v>#N/A</v>
      </c>
      <c r="O306" s="2" t="e">
        <f>INDEX(Data!Q:Q,MATCH($P306,Data!$AL:$AL,0))</f>
        <v>#N/A</v>
      </c>
      <c r="Q306" s="3" t="str">
        <f t="shared" si="4"/>
        <v>NCL</v>
      </c>
    </row>
    <row r="307" spans="1:17" x14ac:dyDescent="0.25">
      <c r="A307" s="3">
        <v>314</v>
      </c>
      <c r="B307" s="216" t="s">
        <v>41</v>
      </c>
      <c r="C307" s="7">
        <f>INDEX(Data!M:M,MATCH(Q307,Data!AM:AM,0))</f>
        <v>0</v>
      </c>
      <c r="D307" s="7">
        <f>INDEX(Data!O:O,MATCH(Q307,Data!AM:AM,0))</f>
        <v>0</v>
      </c>
      <c r="E307" t="e">
        <f>INDEX(Data!T:T,MATCH($P307,Data!$AL:$AL,0))</f>
        <v>#N/A</v>
      </c>
      <c r="F307" t="e">
        <f>INDEX(Data!P:P,MATCH($P307,Data!$AL:$AL,0))</f>
        <v>#N/A</v>
      </c>
      <c r="G307" t="e">
        <f>INDEX(Data!Z:Z,MATCH($P307,Data!$AL:$AL,0))</f>
        <v>#N/A</v>
      </c>
      <c r="H307" t="e">
        <f>INDEX(Data!AA:AA,MATCH($P307,Data!$AL:$AL,0))</f>
        <v>#N/A</v>
      </c>
      <c r="I307" t="e">
        <f>INDEX(Data!AB:AB,MATCH($P307,Data!$AL:$AL,0))</f>
        <v>#N/A</v>
      </c>
      <c r="J307" t="e">
        <f>INDEX(Data!V:V,MATCH($P307,Data!$AL:$AL,0))</f>
        <v>#N/A</v>
      </c>
      <c r="K307" t="e">
        <f>INDEX(Data!W:W,MATCH($P307,Data!$AL:$AL,0))</f>
        <v>#N/A</v>
      </c>
      <c r="L307" t="e">
        <f>INDEX(Data!X:X,MATCH($P307,Data!$AL:$AL,0))</f>
        <v>#N/A</v>
      </c>
      <c r="M307" t="e">
        <f>INDEX(Data!AD:AD,MATCH($P307,Data!$AL:$AL,0))</f>
        <v>#N/A</v>
      </c>
      <c r="N307" t="e">
        <f>INDEX(Data!AF:AF,MATCH($P307,Data!$AL:$AL,0))</f>
        <v>#N/A</v>
      </c>
      <c r="O307" t="e">
        <f>INDEX(Data!Q:Q,MATCH($P307,Data!$AL:$AL,0))</f>
        <v>#N/A</v>
      </c>
      <c r="Q307" s="3" t="str">
        <f t="shared" si="4"/>
        <v>CL</v>
      </c>
    </row>
    <row r="308" spans="1:17" x14ac:dyDescent="0.25">
      <c r="A308" s="3">
        <v>315</v>
      </c>
      <c r="B308" s="216" t="s">
        <v>42</v>
      </c>
      <c r="C308" s="7">
        <f>INDEX(Data!M:M,MATCH(Q308,Data!AM:AM,0))</f>
        <v>0</v>
      </c>
      <c r="D308" s="7">
        <f>INDEX(Data!O:O,MATCH(Q308,Data!AM:AM,0))</f>
        <v>0</v>
      </c>
      <c r="E308" t="e">
        <f>INDEX(Data!T:T,MATCH($P308,Data!$AL:$AL,0))</f>
        <v>#N/A</v>
      </c>
      <c r="F308" t="e">
        <f>INDEX(Data!P:P,MATCH($P308,Data!$AL:$AL,0))</f>
        <v>#N/A</v>
      </c>
      <c r="G308" t="e">
        <f>INDEX(Data!Z:Z,MATCH($P308,Data!$AL:$AL,0))</f>
        <v>#N/A</v>
      </c>
      <c r="H308" t="e">
        <f>INDEX(Data!AA:AA,MATCH($P308,Data!$AL:$AL,0))</f>
        <v>#N/A</v>
      </c>
      <c r="I308" t="e">
        <f>INDEX(Data!AB:AB,MATCH($P308,Data!$AL:$AL,0))</f>
        <v>#N/A</v>
      </c>
      <c r="J308" t="e">
        <f>INDEX(Data!V:V,MATCH($P308,Data!$AL:$AL,0))</f>
        <v>#N/A</v>
      </c>
      <c r="K308" t="e">
        <f>INDEX(Data!W:W,MATCH($P308,Data!$AL:$AL,0))</f>
        <v>#N/A</v>
      </c>
      <c r="L308" t="e">
        <f>INDEX(Data!X:X,MATCH($P308,Data!$AL:$AL,0))</f>
        <v>#N/A</v>
      </c>
      <c r="M308" t="e">
        <f>INDEX(Data!AD:AD,MATCH($P308,Data!$AL:$AL,0))</f>
        <v>#N/A</v>
      </c>
      <c r="N308" t="e">
        <f>INDEX(Data!AF:AF,MATCH($P308,Data!$AL:$AL,0))</f>
        <v>#N/A</v>
      </c>
      <c r="O308" t="e">
        <f>INDEX(Data!Q:Q,MATCH($P308,Data!$AL:$AL,0))</f>
        <v>#N/A</v>
      </c>
      <c r="Q308" s="3" t="str">
        <f t="shared" si="4"/>
        <v>ACL</v>
      </c>
    </row>
    <row r="309" spans="1:17" x14ac:dyDescent="0.25">
      <c r="A309" s="3">
        <v>316</v>
      </c>
      <c r="B309" s="216" t="s">
        <v>43</v>
      </c>
      <c r="C309" s="7">
        <f>INDEX(Data!M:M,MATCH(Q309,Data!AM:AM,0))</f>
        <v>0</v>
      </c>
      <c r="D309" s="7">
        <f>INDEX(Data!O:O,MATCH(Q309,Data!AM:AM,0))</f>
        <v>0</v>
      </c>
      <c r="E309" t="e">
        <f>INDEX(Data!T:T,MATCH($P309,Data!$AL:$AL,0))</f>
        <v>#N/A</v>
      </c>
      <c r="F309" t="e">
        <f>INDEX(Data!P:P,MATCH($P309,Data!$AL:$AL,0))</f>
        <v>#N/A</v>
      </c>
      <c r="G309" t="e">
        <f>INDEX(Data!Z:Z,MATCH($P309,Data!$AL:$AL,0))</f>
        <v>#N/A</v>
      </c>
      <c r="H309" t="e">
        <f>INDEX(Data!AA:AA,MATCH($P309,Data!$AL:$AL,0))</f>
        <v>#N/A</v>
      </c>
      <c r="I309" t="e">
        <f>INDEX(Data!AB:AB,MATCH($P309,Data!$AL:$AL,0))</f>
        <v>#N/A</v>
      </c>
      <c r="J309" t="e">
        <f>INDEX(Data!V:V,MATCH($P309,Data!$AL:$AL,0))</f>
        <v>#N/A</v>
      </c>
      <c r="K309" t="e">
        <f>INDEX(Data!W:W,MATCH($P309,Data!$AL:$AL,0))</f>
        <v>#N/A</v>
      </c>
      <c r="L309" t="e">
        <f>INDEX(Data!X:X,MATCH($P309,Data!$AL:$AL,0))</f>
        <v>#N/A</v>
      </c>
      <c r="M309" t="e">
        <f>INDEX(Data!AD:AD,MATCH($P309,Data!$AL:$AL,0))</f>
        <v>#N/A</v>
      </c>
      <c r="N309" t="e">
        <f>INDEX(Data!AF:AF,MATCH($P309,Data!$AL:$AL,0))</f>
        <v>#N/A</v>
      </c>
      <c r="O309" t="e">
        <f>INDEX(Data!Q:Q,MATCH($P309,Data!$AL:$AL,0))</f>
        <v>#N/A</v>
      </c>
      <c r="Q309" s="3" t="str">
        <f t="shared" si="4"/>
        <v>SPCL</v>
      </c>
    </row>
    <row r="310" spans="1:17" x14ac:dyDescent="0.25">
      <c r="A310" s="4">
        <v>317</v>
      </c>
      <c r="B310" s="217" t="s">
        <v>44</v>
      </c>
      <c r="C310" s="8">
        <f>INDEX(Data!M:M,MATCH(Q310,Data!AM:AM,0))</f>
        <v>0</v>
      </c>
      <c r="D310" s="8">
        <f>INDEX(Data!O:O,MATCH(Q310,Data!AM:AM,0))</f>
        <v>0</v>
      </c>
      <c r="E310" s="1" t="e">
        <f>INDEX(Data!T:T,MATCH($P310,Data!$AL:$AL,0))</f>
        <v>#N/A</v>
      </c>
      <c r="F310" s="1" t="e">
        <f>INDEX(Data!P:P,MATCH($P310,Data!$AL:$AL,0))</f>
        <v>#N/A</v>
      </c>
      <c r="G310" s="1" t="e">
        <f>INDEX(Data!Z:Z,MATCH($P310,Data!$AL:$AL,0))</f>
        <v>#N/A</v>
      </c>
      <c r="H310" s="1" t="e">
        <f>INDEX(Data!AA:AA,MATCH($P310,Data!$AL:$AL,0))</f>
        <v>#N/A</v>
      </c>
      <c r="I310" s="1" t="e">
        <f>INDEX(Data!AB:AB,MATCH($P310,Data!$AL:$AL,0))</f>
        <v>#N/A</v>
      </c>
      <c r="J310" s="1" t="e">
        <f>INDEX(Data!V:V,MATCH($P310,Data!$AL:$AL,0))</f>
        <v>#N/A</v>
      </c>
      <c r="K310" s="1" t="e">
        <f>INDEX(Data!W:W,MATCH($P310,Data!$AL:$AL,0))</f>
        <v>#N/A</v>
      </c>
      <c r="L310" s="1" t="e">
        <f>INDEX(Data!X:X,MATCH($P310,Data!$AL:$AL,0))</f>
        <v>#N/A</v>
      </c>
      <c r="M310" s="1" t="e">
        <f>INDEX(Data!AD:AD,MATCH($P310,Data!$AL:$AL,0))</f>
        <v>#N/A</v>
      </c>
      <c r="N310" s="1" t="e">
        <f>INDEX(Data!AF:AF,MATCH($P310,Data!$AL:$AL,0))</f>
        <v>#N/A</v>
      </c>
      <c r="O310" s="1" t="e">
        <f>INDEX(Data!Q:Q,MATCH($P310,Data!$AL:$AL,0))</f>
        <v>#N/A</v>
      </c>
      <c r="P310" s="1"/>
      <c r="Q310" s="4" t="str">
        <f t="shared" si="4"/>
        <v>SPACL</v>
      </c>
    </row>
    <row r="311" spans="1:17" x14ac:dyDescent="0.25">
      <c r="A311" s="3">
        <v>318</v>
      </c>
      <c r="B311" s="218" t="s">
        <v>40</v>
      </c>
      <c r="C311" s="6">
        <f>INDEX(Data!M:M,MATCH(Q311,Data!AM:AM,0))</f>
        <v>0</v>
      </c>
      <c r="D311" s="6">
        <f>INDEX(Data!O:O,MATCH(Q311,Data!AM:AM,0))</f>
        <v>0</v>
      </c>
      <c r="E311" s="2" t="e">
        <f>INDEX(Data!T:T,MATCH($P311,Data!$AL:$AL,0))</f>
        <v>#N/A</v>
      </c>
      <c r="F311" s="2" t="e">
        <f>INDEX(Data!P:P,MATCH($P311,Data!$AL:$AL,0))</f>
        <v>#N/A</v>
      </c>
      <c r="G311" s="2" t="e">
        <f>INDEX(Data!Z:Z,MATCH($P311,Data!$AL:$AL,0))</f>
        <v>#N/A</v>
      </c>
      <c r="H311" s="2" t="e">
        <f>INDEX(Data!AA:AA,MATCH($P311,Data!$AL:$AL,0))</f>
        <v>#N/A</v>
      </c>
      <c r="I311" s="2" t="e">
        <f>INDEX(Data!AB:AB,MATCH($P311,Data!$AL:$AL,0))</f>
        <v>#N/A</v>
      </c>
      <c r="J311" s="2" t="e">
        <f>INDEX(Data!V:V,MATCH($P311,Data!$AL:$AL,0))</f>
        <v>#N/A</v>
      </c>
      <c r="K311" s="2" t="e">
        <f>INDEX(Data!W:W,MATCH($P311,Data!$AL:$AL,0))</f>
        <v>#N/A</v>
      </c>
      <c r="L311" s="2" t="e">
        <f>INDEX(Data!X:X,MATCH($P311,Data!$AL:$AL,0))</f>
        <v>#N/A</v>
      </c>
      <c r="M311" s="2" t="e">
        <f>INDEX(Data!AD:AD,MATCH($P311,Data!$AL:$AL,0))</f>
        <v>#N/A</v>
      </c>
      <c r="N311" s="2" t="e">
        <f>INDEX(Data!AF:AF,MATCH($P311,Data!$AL:$AL,0))</f>
        <v>#N/A</v>
      </c>
      <c r="O311" s="2" t="e">
        <f>INDEX(Data!Q:Q,MATCH($P311,Data!$AL:$AL,0))</f>
        <v>#N/A</v>
      </c>
      <c r="Q311" s="3" t="str">
        <f t="shared" si="4"/>
        <v>NCL</v>
      </c>
    </row>
    <row r="312" spans="1:17" x14ac:dyDescent="0.25">
      <c r="A312" s="3">
        <v>319</v>
      </c>
      <c r="B312" s="216" t="s">
        <v>41</v>
      </c>
      <c r="C312" s="7">
        <f>INDEX(Data!M:M,MATCH(Q312,Data!AM:AM,0))</f>
        <v>0</v>
      </c>
      <c r="D312" s="7">
        <f>INDEX(Data!O:O,MATCH(Q312,Data!AM:AM,0))</f>
        <v>0</v>
      </c>
      <c r="E312" t="e">
        <f>INDEX(Data!T:T,MATCH($P312,Data!$AL:$AL,0))</f>
        <v>#N/A</v>
      </c>
      <c r="F312" t="e">
        <f>INDEX(Data!P:P,MATCH($P312,Data!$AL:$AL,0))</f>
        <v>#N/A</v>
      </c>
      <c r="G312" t="e">
        <f>INDEX(Data!Z:Z,MATCH($P312,Data!$AL:$AL,0))</f>
        <v>#N/A</v>
      </c>
      <c r="H312" t="e">
        <f>INDEX(Data!AA:AA,MATCH($P312,Data!$AL:$AL,0))</f>
        <v>#N/A</v>
      </c>
      <c r="I312" t="e">
        <f>INDEX(Data!AB:AB,MATCH($P312,Data!$AL:$AL,0))</f>
        <v>#N/A</v>
      </c>
      <c r="J312" t="e">
        <f>INDEX(Data!V:V,MATCH($P312,Data!$AL:$AL,0))</f>
        <v>#N/A</v>
      </c>
      <c r="K312" t="e">
        <f>INDEX(Data!W:W,MATCH($P312,Data!$AL:$AL,0))</f>
        <v>#N/A</v>
      </c>
      <c r="L312" t="e">
        <f>INDEX(Data!X:X,MATCH($P312,Data!$AL:$AL,0))</f>
        <v>#N/A</v>
      </c>
      <c r="M312" t="e">
        <f>INDEX(Data!AD:AD,MATCH($P312,Data!$AL:$AL,0))</f>
        <v>#N/A</v>
      </c>
      <c r="N312" t="e">
        <f>INDEX(Data!AF:AF,MATCH($P312,Data!$AL:$AL,0))</f>
        <v>#N/A</v>
      </c>
      <c r="O312" t="e">
        <f>INDEX(Data!Q:Q,MATCH($P312,Data!$AL:$AL,0))</f>
        <v>#N/A</v>
      </c>
      <c r="Q312" s="3" t="str">
        <f t="shared" si="4"/>
        <v>CL</v>
      </c>
    </row>
    <row r="313" spans="1:17" x14ac:dyDescent="0.25">
      <c r="A313" s="3">
        <v>320</v>
      </c>
      <c r="B313" s="216" t="s">
        <v>42</v>
      </c>
      <c r="C313" s="7">
        <f>INDEX(Data!M:M,MATCH(Q313,Data!AM:AM,0))</f>
        <v>0</v>
      </c>
      <c r="D313" s="7">
        <f>INDEX(Data!O:O,MATCH(Q313,Data!AM:AM,0))</f>
        <v>0</v>
      </c>
      <c r="E313" t="e">
        <f>INDEX(Data!T:T,MATCH($P313,Data!$AL:$AL,0))</f>
        <v>#N/A</v>
      </c>
      <c r="F313" t="e">
        <f>INDEX(Data!P:P,MATCH($P313,Data!$AL:$AL,0))</f>
        <v>#N/A</v>
      </c>
      <c r="G313" t="e">
        <f>INDEX(Data!Z:Z,MATCH($P313,Data!$AL:$AL,0))</f>
        <v>#N/A</v>
      </c>
      <c r="H313" t="e">
        <f>INDEX(Data!AA:AA,MATCH($P313,Data!$AL:$AL,0))</f>
        <v>#N/A</v>
      </c>
      <c r="I313" t="e">
        <f>INDEX(Data!AB:AB,MATCH($P313,Data!$AL:$AL,0))</f>
        <v>#N/A</v>
      </c>
      <c r="J313" t="e">
        <f>INDEX(Data!V:V,MATCH($P313,Data!$AL:$AL,0))</f>
        <v>#N/A</v>
      </c>
      <c r="K313" t="e">
        <f>INDEX(Data!W:W,MATCH($P313,Data!$AL:$AL,0))</f>
        <v>#N/A</v>
      </c>
      <c r="L313" t="e">
        <f>INDEX(Data!X:X,MATCH($P313,Data!$AL:$AL,0))</f>
        <v>#N/A</v>
      </c>
      <c r="M313" t="e">
        <f>INDEX(Data!AD:AD,MATCH($P313,Data!$AL:$AL,0))</f>
        <v>#N/A</v>
      </c>
      <c r="N313" t="e">
        <f>INDEX(Data!AF:AF,MATCH($P313,Data!$AL:$AL,0))</f>
        <v>#N/A</v>
      </c>
      <c r="O313" t="e">
        <f>INDEX(Data!Q:Q,MATCH($P313,Data!$AL:$AL,0))</f>
        <v>#N/A</v>
      </c>
      <c r="Q313" s="3" t="str">
        <f t="shared" si="4"/>
        <v>ACL</v>
      </c>
    </row>
    <row r="314" spans="1:17" x14ac:dyDescent="0.25">
      <c r="A314" s="3">
        <v>321</v>
      </c>
      <c r="B314" s="216" t="s">
        <v>43</v>
      </c>
      <c r="C314" s="7">
        <f>INDEX(Data!M:M,MATCH(Q314,Data!AM:AM,0))</f>
        <v>0</v>
      </c>
      <c r="D314" s="7">
        <f>INDEX(Data!O:O,MATCH(Q314,Data!AM:AM,0))</f>
        <v>0</v>
      </c>
      <c r="E314" t="e">
        <f>INDEX(Data!T:T,MATCH($P314,Data!$AL:$AL,0))</f>
        <v>#N/A</v>
      </c>
      <c r="F314" t="e">
        <f>INDEX(Data!P:P,MATCH($P314,Data!$AL:$AL,0))</f>
        <v>#N/A</v>
      </c>
      <c r="G314" t="e">
        <f>INDEX(Data!Z:Z,MATCH($P314,Data!$AL:$AL,0))</f>
        <v>#N/A</v>
      </c>
      <c r="H314" t="e">
        <f>INDEX(Data!AA:AA,MATCH($P314,Data!$AL:$AL,0))</f>
        <v>#N/A</v>
      </c>
      <c r="I314" t="e">
        <f>INDEX(Data!AB:AB,MATCH($P314,Data!$AL:$AL,0))</f>
        <v>#N/A</v>
      </c>
      <c r="J314" t="e">
        <f>INDEX(Data!V:V,MATCH($P314,Data!$AL:$AL,0))</f>
        <v>#N/A</v>
      </c>
      <c r="K314" t="e">
        <f>INDEX(Data!W:W,MATCH($P314,Data!$AL:$AL,0))</f>
        <v>#N/A</v>
      </c>
      <c r="L314" t="e">
        <f>INDEX(Data!X:X,MATCH($P314,Data!$AL:$AL,0))</f>
        <v>#N/A</v>
      </c>
      <c r="M314" t="e">
        <f>INDEX(Data!AD:AD,MATCH($P314,Data!$AL:$AL,0))</f>
        <v>#N/A</v>
      </c>
      <c r="N314" t="e">
        <f>INDEX(Data!AF:AF,MATCH($P314,Data!$AL:$AL,0))</f>
        <v>#N/A</v>
      </c>
      <c r="O314" t="e">
        <f>INDEX(Data!Q:Q,MATCH($P314,Data!$AL:$AL,0))</f>
        <v>#N/A</v>
      </c>
      <c r="Q314" s="3" t="str">
        <f t="shared" ref="Q314:Q377" si="5">_xlfn.CONCAT(B314,P314)</f>
        <v>SPCL</v>
      </c>
    </row>
    <row r="315" spans="1:17" x14ac:dyDescent="0.25">
      <c r="A315" s="4">
        <v>322</v>
      </c>
      <c r="B315" s="217" t="s">
        <v>44</v>
      </c>
      <c r="C315" s="8">
        <f>INDEX(Data!M:M,MATCH(Q315,Data!AM:AM,0))</f>
        <v>0</v>
      </c>
      <c r="D315" s="8">
        <f>INDEX(Data!O:O,MATCH(Q315,Data!AM:AM,0))</f>
        <v>0</v>
      </c>
      <c r="E315" s="1" t="e">
        <f>INDEX(Data!T:T,MATCH($P315,Data!$AL:$AL,0))</f>
        <v>#N/A</v>
      </c>
      <c r="F315" s="1" t="e">
        <f>INDEX(Data!P:P,MATCH($P315,Data!$AL:$AL,0))</f>
        <v>#N/A</v>
      </c>
      <c r="G315" s="1" t="e">
        <f>INDEX(Data!Z:Z,MATCH($P315,Data!$AL:$AL,0))</f>
        <v>#N/A</v>
      </c>
      <c r="H315" s="1" t="e">
        <f>INDEX(Data!AA:AA,MATCH($P315,Data!$AL:$AL,0))</f>
        <v>#N/A</v>
      </c>
      <c r="I315" s="1" t="e">
        <f>INDEX(Data!AB:AB,MATCH($P315,Data!$AL:$AL,0))</f>
        <v>#N/A</v>
      </c>
      <c r="J315" s="1" t="e">
        <f>INDEX(Data!V:V,MATCH($P315,Data!$AL:$AL,0))</f>
        <v>#N/A</v>
      </c>
      <c r="K315" s="1" t="e">
        <f>INDEX(Data!W:W,MATCH($P315,Data!$AL:$AL,0))</f>
        <v>#N/A</v>
      </c>
      <c r="L315" s="1" t="e">
        <f>INDEX(Data!X:X,MATCH($P315,Data!$AL:$AL,0))</f>
        <v>#N/A</v>
      </c>
      <c r="M315" s="1" t="e">
        <f>INDEX(Data!AD:AD,MATCH($P315,Data!$AL:$AL,0))</f>
        <v>#N/A</v>
      </c>
      <c r="N315" s="1" t="e">
        <f>INDEX(Data!AF:AF,MATCH($P315,Data!$AL:$AL,0))</f>
        <v>#N/A</v>
      </c>
      <c r="O315" s="1" t="e">
        <f>INDEX(Data!Q:Q,MATCH($P315,Data!$AL:$AL,0))</f>
        <v>#N/A</v>
      </c>
      <c r="P315" s="1"/>
      <c r="Q315" s="4" t="str">
        <f t="shared" si="5"/>
        <v>SPACL</v>
      </c>
    </row>
    <row r="316" spans="1:17" x14ac:dyDescent="0.25">
      <c r="A316" s="3">
        <v>323</v>
      </c>
      <c r="B316" s="218" t="s">
        <v>40</v>
      </c>
      <c r="C316" s="6">
        <f>INDEX(Data!M:M,MATCH(Q316,Data!AM:AM,0))</f>
        <v>0</v>
      </c>
      <c r="D316" s="6">
        <f>INDEX(Data!O:O,MATCH(Q316,Data!AM:AM,0))</f>
        <v>0</v>
      </c>
      <c r="E316" s="2" t="e">
        <f>INDEX(Data!T:T,MATCH($P316,Data!$AL:$AL,0))</f>
        <v>#N/A</v>
      </c>
      <c r="F316" s="2" t="e">
        <f>INDEX(Data!P:P,MATCH($P316,Data!$AL:$AL,0))</f>
        <v>#N/A</v>
      </c>
      <c r="G316" s="2" t="e">
        <f>INDEX(Data!Z:Z,MATCH($P316,Data!$AL:$AL,0))</f>
        <v>#N/A</v>
      </c>
      <c r="H316" s="2" t="e">
        <f>INDEX(Data!AA:AA,MATCH($P316,Data!$AL:$AL,0))</f>
        <v>#N/A</v>
      </c>
      <c r="I316" s="2" t="e">
        <f>INDEX(Data!AB:AB,MATCH($P316,Data!$AL:$AL,0))</f>
        <v>#N/A</v>
      </c>
      <c r="J316" s="2" t="e">
        <f>INDEX(Data!V:V,MATCH($P316,Data!$AL:$AL,0))</f>
        <v>#N/A</v>
      </c>
      <c r="K316" s="2" t="e">
        <f>INDEX(Data!W:W,MATCH($P316,Data!$AL:$AL,0))</f>
        <v>#N/A</v>
      </c>
      <c r="L316" s="2" t="e">
        <f>INDEX(Data!X:X,MATCH($P316,Data!$AL:$AL,0))</f>
        <v>#N/A</v>
      </c>
      <c r="M316" s="2" t="e">
        <f>INDEX(Data!AD:AD,MATCH($P316,Data!$AL:$AL,0))</f>
        <v>#N/A</v>
      </c>
      <c r="N316" s="2" t="e">
        <f>INDEX(Data!AF:AF,MATCH($P316,Data!$AL:$AL,0))</f>
        <v>#N/A</v>
      </c>
      <c r="O316" s="2" t="e">
        <f>INDEX(Data!Q:Q,MATCH($P316,Data!$AL:$AL,0))</f>
        <v>#N/A</v>
      </c>
      <c r="Q316" s="3" t="str">
        <f t="shared" si="5"/>
        <v>NCL</v>
      </c>
    </row>
    <row r="317" spans="1:17" x14ac:dyDescent="0.25">
      <c r="A317" s="3">
        <v>324</v>
      </c>
      <c r="B317" s="216" t="s">
        <v>41</v>
      </c>
      <c r="C317" s="7">
        <f>INDEX(Data!M:M,MATCH(Q317,Data!AM:AM,0))</f>
        <v>0</v>
      </c>
      <c r="D317" s="7">
        <f>INDEX(Data!O:O,MATCH(Q317,Data!AM:AM,0))</f>
        <v>0</v>
      </c>
      <c r="E317" t="e">
        <f>INDEX(Data!T:T,MATCH($P317,Data!$AL:$AL,0))</f>
        <v>#N/A</v>
      </c>
      <c r="F317" t="e">
        <f>INDEX(Data!P:P,MATCH($P317,Data!$AL:$AL,0))</f>
        <v>#N/A</v>
      </c>
      <c r="G317" t="e">
        <f>INDEX(Data!Z:Z,MATCH($P317,Data!$AL:$AL,0))</f>
        <v>#N/A</v>
      </c>
      <c r="H317" t="e">
        <f>INDEX(Data!AA:AA,MATCH($P317,Data!$AL:$AL,0))</f>
        <v>#N/A</v>
      </c>
      <c r="I317" t="e">
        <f>INDEX(Data!AB:AB,MATCH($P317,Data!$AL:$AL,0))</f>
        <v>#N/A</v>
      </c>
      <c r="J317" t="e">
        <f>INDEX(Data!V:V,MATCH($P317,Data!$AL:$AL,0))</f>
        <v>#N/A</v>
      </c>
      <c r="K317" t="e">
        <f>INDEX(Data!W:W,MATCH($P317,Data!$AL:$AL,0))</f>
        <v>#N/A</v>
      </c>
      <c r="L317" t="e">
        <f>INDEX(Data!X:X,MATCH($P317,Data!$AL:$AL,0))</f>
        <v>#N/A</v>
      </c>
      <c r="M317" t="e">
        <f>INDEX(Data!AD:AD,MATCH($P317,Data!$AL:$AL,0))</f>
        <v>#N/A</v>
      </c>
      <c r="N317" t="e">
        <f>INDEX(Data!AF:AF,MATCH($P317,Data!$AL:$AL,0))</f>
        <v>#N/A</v>
      </c>
      <c r="O317" t="e">
        <f>INDEX(Data!Q:Q,MATCH($P317,Data!$AL:$AL,0))</f>
        <v>#N/A</v>
      </c>
      <c r="Q317" s="3" t="str">
        <f t="shared" si="5"/>
        <v>CL</v>
      </c>
    </row>
    <row r="318" spans="1:17" x14ac:dyDescent="0.25">
      <c r="A318" s="3">
        <v>325</v>
      </c>
      <c r="B318" s="216" t="s">
        <v>42</v>
      </c>
      <c r="C318" s="7">
        <f>INDEX(Data!M:M,MATCH(Q318,Data!AM:AM,0))</f>
        <v>0</v>
      </c>
      <c r="D318" s="7">
        <f>INDEX(Data!O:O,MATCH(Q318,Data!AM:AM,0))</f>
        <v>0</v>
      </c>
      <c r="E318" t="e">
        <f>INDEX(Data!T:T,MATCH($P318,Data!$AL:$AL,0))</f>
        <v>#N/A</v>
      </c>
      <c r="F318" t="e">
        <f>INDEX(Data!P:P,MATCH($P318,Data!$AL:$AL,0))</f>
        <v>#N/A</v>
      </c>
      <c r="G318" t="e">
        <f>INDEX(Data!Z:Z,MATCH($P318,Data!$AL:$AL,0))</f>
        <v>#N/A</v>
      </c>
      <c r="H318" t="e">
        <f>INDEX(Data!AA:AA,MATCH($P318,Data!$AL:$AL,0))</f>
        <v>#N/A</v>
      </c>
      <c r="I318" t="e">
        <f>INDEX(Data!AB:AB,MATCH($P318,Data!$AL:$AL,0))</f>
        <v>#N/A</v>
      </c>
      <c r="J318" t="e">
        <f>INDEX(Data!V:V,MATCH($P318,Data!$AL:$AL,0))</f>
        <v>#N/A</v>
      </c>
      <c r="K318" t="e">
        <f>INDEX(Data!W:W,MATCH($P318,Data!$AL:$AL,0))</f>
        <v>#N/A</v>
      </c>
      <c r="L318" t="e">
        <f>INDEX(Data!X:X,MATCH($P318,Data!$AL:$AL,0))</f>
        <v>#N/A</v>
      </c>
      <c r="M318" t="e">
        <f>INDEX(Data!AD:AD,MATCH($P318,Data!$AL:$AL,0))</f>
        <v>#N/A</v>
      </c>
      <c r="N318" t="e">
        <f>INDEX(Data!AF:AF,MATCH($P318,Data!$AL:$AL,0))</f>
        <v>#N/A</v>
      </c>
      <c r="O318" t="e">
        <f>INDEX(Data!Q:Q,MATCH($P318,Data!$AL:$AL,0))</f>
        <v>#N/A</v>
      </c>
      <c r="Q318" s="3" t="str">
        <f t="shared" si="5"/>
        <v>ACL</v>
      </c>
    </row>
    <row r="319" spans="1:17" x14ac:dyDescent="0.25">
      <c r="A319" s="3">
        <v>326</v>
      </c>
      <c r="B319" s="216" t="s">
        <v>43</v>
      </c>
      <c r="C319" s="7">
        <f>INDEX(Data!M:M,MATCH(Q319,Data!AM:AM,0))</f>
        <v>0</v>
      </c>
      <c r="D319" s="7">
        <f>INDEX(Data!O:O,MATCH(Q319,Data!AM:AM,0))</f>
        <v>0</v>
      </c>
      <c r="E319" t="e">
        <f>INDEX(Data!T:T,MATCH($P319,Data!$AL:$AL,0))</f>
        <v>#N/A</v>
      </c>
      <c r="F319" t="e">
        <f>INDEX(Data!P:P,MATCH($P319,Data!$AL:$AL,0))</f>
        <v>#N/A</v>
      </c>
      <c r="G319" t="e">
        <f>INDEX(Data!Z:Z,MATCH($P319,Data!$AL:$AL,0))</f>
        <v>#N/A</v>
      </c>
      <c r="H319" t="e">
        <f>INDEX(Data!AA:AA,MATCH($P319,Data!$AL:$AL,0))</f>
        <v>#N/A</v>
      </c>
      <c r="I319" t="e">
        <f>INDEX(Data!AB:AB,MATCH($P319,Data!$AL:$AL,0))</f>
        <v>#N/A</v>
      </c>
      <c r="J319" t="e">
        <f>INDEX(Data!V:V,MATCH($P319,Data!$AL:$AL,0))</f>
        <v>#N/A</v>
      </c>
      <c r="K319" t="e">
        <f>INDEX(Data!W:W,MATCH($P319,Data!$AL:$AL,0))</f>
        <v>#N/A</v>
      </c>
      <c r="L319" t="e">
        <f>INDEX(Data!X:X,MATCH($P319,Data!$AL:$AL,0))</f>
        <v>#N/A</v>
      </c>
      <c r="M319" t="e">
        <f>INDEX(Data!AD:AD,MATCH($P319,Data!$AL:$AL,0))</f>
        <v>#N/A</v>
      </c>
      <c r="N319" t="e">
        <f>INDEX(Data!AF:AF,MATCH($P319,Data!$AL:$AL,0))</f>
        <v>#N/A</v>
      </c>
      <c r="O319" t="e">
        <f>INDEX(Data!Q:Q,MATCH($P319,Data!$AL:$AL,0))</f>
        <v>#N/A</v>
      </c>
      <c r="Q319" s="3" t="str">
        <f t="shared" si="5"/>
        <v>SPCL</v>
      </c>
    </row>
    <row r="320" spans="1:17" x14ac:dyDescent="0.25">
      <c r="A320" s="4">
        <v>327</v>
      </c>
      <c r="B320" s="217" t="s">
        <v>44</v>
      </c>
      <c r="C320" s="8">
        <f>INDEX(Data!M:M,MATCH(Q320,Data!AM:AM,0))</f>
        <v>0</v>
      </c>
      <c r="D320" s="8">
        <f>INDEX(Data!O:O,MATCH(Q320,Data!AM:AM,0))</f>
        <v>0</v>
      </c>
      <c r="E320" s="1" t="e">
        <f>INDEX(Data!T:T,MATCH($P320,Data!$AL:$AL,0))</f>
        <v>#N/A</v>
      </c>
      <c r="F320" s="1" t="e">
        <f>INDEX(Data!P:P,MATCH($P320,Data!$AL:$AL,0))</f>
        <v>#N/A</v>
      </c>
      <c r="G320" s="1" t="e">
        <f>INDEX(Data!Z:Z,MATCH($P320,Data!$AL:$AL,0))</f>
        <v>#N/A</v>
      </c>
      <c r="H320" s="1" t="e">
        <f>INDEX(Data!AA:AA,MATCH($P320,Data!$AL:$AL,0))</f>
        <v>#N/A</v>
      </c>
      <c r="I320" s="1" t="e">
        <f>INDEX(Data!AB:AB,MATCH($P320,Data!$AL:$AL,0))</f>
        <v>#N/A</v>
      </c>
      <c r="J320" s="1" t="e">
        <f>INDEX(Data!V:V,MATCH($P320,Data!$AL:$AL,0))</f>
        <v>#N/A</v>
      </c>
      <c r="K320" s="1" t="e">
        <f>INDEX(Data!W:W,MATCH($P320,Data!$AL:$AL,0))</f>
        <v>#N/A</v>
      </c>
      <c r="L320" s="1" t="e">
        <f>INDEX(Data!X:X,MATCH($P320,Data!$AL:$AL,0))</f>
        <v>#N/A</v>
      </c>
      <c r="M320" s="1" t="e">
        <f>INDEX(Data!AD:AD,MATCH($P320,Data!$AL:$AL,0))</f>
        <v>#N/A</v>
      </c>
      <c r="N320" s="1" t="e">
        <f>INDEX(Data!AF:AF,MATCH($P320,Data!$AL:$AL,0))</f>
        <v>#N/A</v>
      </c>
      <c r="O320" s="1" t="e">
        <f>INDEX(Data!Q:Q,MATCH($P320,Data!$AL:$AL,0))</f>
        <v>#N/A</v>
      </c>
      <c r="P320" s="1"/>
      <c r="Q320" s="4" t="str">
        <f t="shared" si="5"/>
        <v>SPACL</v>
      </c>
    </row>
    <row r="321" spans="1:17" x14ac:dyDescent="0.25">
      <c r="A321" s="3">
        <v>328</v>
      </c>
      <c r="B321" s="218" t="s">
        <v>40</v>
      </c>
      <c r="C321" s="6">
        <f>INDEX(Data!M:M,MATCH(Q321,Data!AM:AM,0))</f>
        <v>0</v>
      </c>
      <c r="D321" s="6">
        <f>INDEX(Data!O:O,MATCH(Q321,Data!AM:AM,0))</f>
        <v>0</v>
      </c>
      <c r="E321" s="2" t="e">
        <f>INDEX(Data!T:T,MATCH($P321,Data!$AL:$AL,0))</f>
        <v>#N/A</v>
      </c>
      <c r="F321" s="2" t="e">
        <f>INDEX(Data!P:P,MATCH($P321,Data!$AL:$AL,0))</f>
        <v>#N/A</v>
      </c>
      <c r="G321" s="2" t="e">
        <f>INDEX(Data!Z:Z,MATCH($P321,Data!$AL:$AL,0))</f>
        <v>#N/A</v>
      </c>
      <c r="H321" s="2" t="e">
        <f>INDEX(Data!AA:AA,MATCH($P321,Data!$AL:$AL,0))</f>
        <v>#N/A</v>
      </c>
      <c r="I321" s="2" t="e">
        <f>INDEX(Data!AB:AB,MATCH($P321,Data!$AL:$AL,0))</f>
        <v>#N/A</v>
      </c>
      <c r="J321" s="2" t="e">
        <f>INDEX(Data!V:V,MATCH($P321,Data!$AL:$AL,0))</f>
        <v>#N/A</v>
      </c>
      <c r="K321" s="2" t="e">
        <f>INDEX(Data!W:W,MATCH($P321,Data!$AL:$AL,0))</f>
        <v>#N/A</v>
      </c>
      <c r="L321" s="2" t="e">
        <f>INDEX(Data!X:X,MATCH($P321,Data!$AL:$AL,0))</f>
        <v>#N/A</v>
      </c>
      <c r="M321" s="2" t="e">
        <f>INDEX(Data!AD:AD,MATCH($P321,Data!$AL:$AL,0))</f>
        <v>#N/A</v>
      </c>
      <c r="N321" s="2" t="e">
        <f>INDEX(Data!AF:AF,MATCH($P321,Data!$AL:$AL,0))</f>
        <v>#N/A</v>
      </c>
      <c r="O321" s="2" t="e">
        <f>INDEX(Data!Q:Q,MATCH($P321,Data!$AL:$AL,0))</f>
        <v>#N/A</v>
      </c>
      <c r="Q321" s="3" t="str">
        <f t="shared" si="5"/>
        <v>NCL</v>
      </c>
    </row>
    <row r="322" spans="1:17" x14ac:dyDescent="0.25">
      <c r="A322" s="3">
        <v>329</v>
      </c>
      <c r="B322" s="216" t="s">
        <v>41</v>
      </c>
      <c r="C322" s="7">
        <f>INDEX(Data!M:M,MATCH(Q322,Data!AM:AM,0))</f>
        <v>0</v>
      </c>
      <c r="D322" s="7">
        <f>INDEX(Data!O:O,MATCH(Q322,Data!AM:AM,0))</f>
        <v>0</v>
      </c>
      <c r="E322" t="e">
        <f>INDEX(Data!T:T,MATCH($P322,Data!$AL:$AL,0))</f>
        <v>#N/A</v>
      </c>
      <c r="F322" t="e">
        <f>INDEX(Data!P:P,MATCH($P322,Data!$AL:$AL,0))</f>
        <v>#N/A</v>
      </c>
      <c r="G322" t="e">
        <f>INDEX(Data!Z:Z,MATCH($P322,Data!$AL:$AL,0))</f>
        <v>#N/A</v>
      </c>
      <c r="H322" t="e">
        <f>INDEX(Data!AA:AA,MATCH($P322,Data!$AL:$AL,0))</f>
        <v>#N/A</v>
      </c>
      <c r="I322" t="e">
        <f>INDEX(Data!AB:AB,MATCH($P322,Data!$AL:$AL,0))</f>
        <v>#N/A</v>
      </c>
      <c r="J322" t="e">
        <f>INDEX(Data!V:V,MATCH($P322,Data!$AL:$AL,0))</f>
        <v>#N/A</v>
      </c>
      <c r="K322" t="e">
        <f>INDEX(Data!W:W,MATCH($P322,Data!$AL:$AL,0))</f>
        <v>#N/A</v>
      </c>
      <c r="L322" t="e">
        <f>INDEX(Data!X:X,MATCH($P322,Data!$AL:$AL,0))</f>
        <v>#N/A</v>
      </c>
      <c r="M322" t="e">
        <f>INDEX(Data!AD:AD,MATCH($P322,Data!$AL:$AL,0))</f>
        <v>#N/A</v>
      </c>
      <c r="N322" t="e">
        <f>INDEX(Data!AF:AF,MATCH($P322,Data!$AL:$AL,0))</f>
        <v>#N/A</v>
      </c>
      <c r="O322" t="e">
        <f>INDEX(Data!Q:Q,MATCH($P322,Data!$AL:$AL,0))</f>
        <v>#N/A</v>
      </c>
      <c r="Q322" s="3" t="str">
        <f t="shared" si="5"/>
        <v>CL</v>
      </c>
    </row>
    <row r="323" spans="1:17" x14ac:dyDescent="0.25">
      <c r="A323" s="3">
        <v>330</v>
      </c>
      <c r="B323" s="216" t="s">
        <v>42</v>
      </c>
      <c r="C323" s="7">
        <f>INDEX(Data!M:M,MATCH(Q323,Data!AM:AM,0))</f>
        <v>0</v>
      </c>
      <c r="D323" s="7">
        <f>INDEX(Data!O:O,MATCH(Q323,Data!AM:AM,0))</f>
        <v>0</v>
      </c>
      <c r="E323" t="e">
        <f>INDEX(Data!T:T,MATCH($P323,Data!$AL:$AL,0))</f>
        <v>#N/A</v>
      </c>
      <c r="F323" t="e">
        <f>INDEX(Data!P:P,MATCH($P323,Data!$AL:$AL,0))</f>
        <v>#N/A</v>
      </c>
      <c r="G323" t="e">
        <f>INDEX(Data!Z:Z,MATCH($P323,Data!$AL:$AL,0))</f>
        <v>#N/A</v>
      </c>
      <c r="H323" t="e">
        <f>INDEX(Data!AA:AA,MATCH($P323,Data!$AL:$AL,0))</f>
        <v>#N/A</v>
      </c>
      <c r="I323" t="e">
        <f>INDEX(Data!AB:AB,MATCH($P323,Data!$AL:$AL,0))</f>
        <v>#N/A</v>
      </c>
      <c r="J323" t="e">
        <f>INDEX(Data!V:V,MATCH($P323,Data!$AL:$AL,0))</f>
        <v>#N/A</v>
      </c>
      <c r="K323" t="e">
        <f>INDEX(Data!W:W,MATCH($P323,Data!$AL:$AL,0))</f>
        <v>#N/A</v>
      </c>
      <c r="L323" t="e">
        <f>INDEX(Data!X:X,MATCH($P323,Data!$AL:$AL,0))</f>
        <v>#N/A</v>
      </c>
      <c r="M323" t="e">
        <f>INDEX(Data!AD:AD,MATCH($P323,Data!$AL:$AL,0))</f>
        <v>#N/A</v>
      </c>
      <c r="N323" t="e">
        <f>INDEX(Data!AF:AF,MATCH($P323,Data!$AL:$AL,0))</f>
        <v>#N/A</v>
      </c>
      <c r="O323" t="e">
        <f>INDEX(Data!Q:Q,MATCH($P323,Data!$AL:$AL,0))</f>
        <v>#N/A</v>
      </c>
      <c r="Q323" s="3" t="str">
        <f t="shared" si="5"/>
        <v>ACL</v>
      </c>
    </row>
    <row r="324" spans="1:17" x14ac:dyDescent="0.25">
      <c r="A324" s="3">
        <v>331</v>
      </c>
      <c r="B324" s="216" t="s">
        <v>43</v>
      </c>
      <c r="C324" s="7">
        <f>INDEX(Data!M:M,MATCH(Q324,Data!AM:AM,0))</f>
        <v>0</v>
      </c>
      <c r="D324" s="7">
        <f>INDEX(Data!O:O,MATCH(Q324,Data!AM:AM,0))</f>
        <v>0</v>
      </c>
      <c r="E324" t="e">
        <f>INDEX(Data!T:T,MATCH($P324,Data!$AL:$AL,0))</f>
        <v>#N/A</v>
      </c>
      <c r="F324" t="e">
        <f>INDEX(Data!P:P,MATCH($P324,Data!$AL:$AL,0))</f>
        <v>#N/A</v>
      </c>
      <c r="G324" t="e">
        <f>INDEX(Data!Z:Z,MATCH($P324,Data!$AL:$AL,0))</f>
        <v>#N/A</v>
      </c>
      <c r="H324" t="e">
        <f>INDEX(Data!AA:AA,MATCH($P324,Data!$AL:$AL,0))</f>
        <v>#N/A</v>
      </c>
      <c r="I324" t="e">
        <f>INDEX(Data!AB:AB,MATCH($P324,Data!$AL:$AL,0))</f>
        <v>#N/A</v>
      </c>
      <c r="J324" t="e">
        <f>INDEX(Data!V:V,MATCH($P324,Data!$AL:$AL,0))</f>
        <v>#N/A</v>
      </c>
      <c r="K324" t="e">
        <f>INDEX(Data!W:W,MATCH($P324,Data!$AL:$AL,0))</f>
        <v>#N/A</v>
      </c>
      <c r="L324" t="e">
        <f>INDEX(Data!X:X,MATCH($P324,Data!$AL:$AL,0))</f>
        <v>#N/A</v>
      </c>
      <c r="M324" t="e">
        <f>INDEX(Data!AD:AD,MATCH($P324,Data!$AL:$AL,0))</f>
        <v>#N/A</v>
      </c>
      <c r="N324" t="e">
        <f>INDEX(Data!AF:AF,MATCH($P324,Data!$AL:$AL,0))</f>
        <v>#N/A</v>
      </c>
      <c r="O324" t="e">
        <f>INDEX(Data!Q:Q,MATCH($P324,Data!$AL:$AL,0))</f>
        <v>#N/A</v>
      </c>
      <c r="Q324" s="3" t="str">
        <f t="shared" si="5"/>
        <v>SPCL</v>
      </c>
    </row>
    <row r="325" spans="1:17" x14ac:dyDescent="0.25">
      <c r="A325" s="4">
        <v>332</v>
      </c>
      <c r="B325" s="217" t="s">
        <v>44</v>
      </c>
      <c r="C325" s="8">
        <f>INDEX(Data!M:M,MATCH(Q325,Data!AM:AM,0))</f>
        <v>0</v>
      </c>
      <c r="D325" s="8">
        <f>INDEX(Data!O:O,MATCH(Q325,Data!AM:AM,0))</f>
        <v>0</v>
      </c>
      <c r="E325" s="1" t="e">
        <f>INDEX(Data!T:T,MATCH($P325,Data!$AL:$AL,0))</f>
        <v>#N/A</v>
      </c>
      <c r="F325" s="1" t="e">
        <f>INDEX(Data!P:P,MATCH($P325,Data!$AL:$AL,0))</f>
        <v>#N/A</v>
      </c>
      <c r="G325" s="1" t="e">
        <f>INDEX(Data!Z:Z,MATCH($P325,Data!$AL:$AL,0))</f>
        <v>#N/A</v>
      </c>
      <c r="H325" s="1" t="e">
        <f>INDEX(Data!AA:AA,MATCH($P325,Data!$AL:$AL,0))</f>
        <v>#N/A</v>
      </c>
      <c r="I325" s="1" t="e">
        <f>INDEX(Data!AB:AB,MATCH($P325,Data!$AL:$AL,0))</f>
        <v>#N/A</v>
      </c>
      <c r="J325" s="1" t="e">
        <f>INDEX(Data!V:V,MATCH($P325,Data!$AL:$AL,0))</f>
        <v>#N/A</v>
      </c>
      <c r="K325" s="1" t="e">
        <f>INDEX(Data!W:W,MATCH($P325,Data!$AL:$AL,0))</f>
        <v>#N/A</v>
      </c>
      <c r="L325" s="1" t="e">
        <f>INDEX(Data!X:X,MATCH($P325,Data!$AL:$AL,0))</f>
        <v>#N/A</v>
      </c>
      <c r="M325" s="1" t="e">
        <f>INDEX(Data!AD:AD,MATCH($P325,Data!$AL:$AL,0))</f>
        <v>#N/A</v>
      </c>
      <c r="N325" s="1" t="e">
        <f>INDEX(Data!AF:AF,MATCH($P325,Data!$AL:$AL,0))</f>
        <v>#N/A</v>
      </c>
      <c r="O325" s="1" t="e">
        <f>INDEX(Data!Q:Q,MATCH($P325,Data!$AL:$AL,0))</f>
        <v>#N/A</v>
      </c>
      <c r="P325" s="1"/>
      <c r="Q325" s="4" t="str">
        <f t="shared" si="5"/>
        <v>SPACL</v>
      </c>
    </row>
    <row r="326" spans="1:17" x14ac:dyDescent="0.25">
      <c r="A326" s="3">
        <v>333</v>
      </c>
      <c r="B326" s="218" t="s">
        <v>40</v>
      </c>
      <c r="C326" s="6">
        <f>INDEX(Data!M:M,MATCH(Q326,Data!AM:AM,0))</f>
        <v>0</v>
      </c>
      <c r="D326" s="6">
        <f>INDEX(Data!O:O,MATCH(Q326,Data!AM:AM,0))</f>
        <v>0</v>
      </c>
      <c r="E326" s="2" t="e">
        <f>INDEX(Data!T:T,MATCH($P326,Data!$AL:$AL,0))</f>
        <v>#N/A</v>
      </c>
      <c r="F326" s="2" t="e">
        <f>INDEX(Data!P:P,MATCH($P326,Data!$AL:$AL,0))</f>
        <v>#N/A</v>
      </c>
      <c r="G326" s="2" t="e">
        <f>INDEX(Data!Z:Z,MATCH($P326,Data!$AL:$AL,0))</f>
        <v>#N/A</v>
      </c>
      <c r="H326" s="2" t="e">
        <f>INDEX(Data!AA:AA,MATCH($P326,Data!$AL:$AL,0))</f>
        <v>#N/A</v>
      </c>
      <c r="I326" s="2" t="e">
        <f>INDEX(Data!AB:AB,MATCH($P326,Data!$AL:$AL,0))</f>
        <v>#N/A</v>
      </c>
      <c r="J326" s="2" t="e">
        <f>INDEX(Data!V:V,MATCH($P326,Data!$AL:$AL,0))</f>
        <v>#N/A</v>
      </c>
      <c r="K326" s="2" t="e">
        <f>INDEX(Data!W:W,MATCH($P326,Data!$AL:$AL,0))</f>
        <v>#N/A</v>
      </c>
      <c r="L326" s="2" t="e">
        <f>INDEX(Data!X:X,MATCH($P326,Data!$AL:$AL,0))</f>
        <v>#N/A</v>
      </c>
      <c r="M326" s="2" t="e">
        <f>INDEX(Data!AD:AD,MATCH($P326,Data!$AL:$AL,0))</f>
        <v>#N/A</v>
      </c>
      <c r="N326" s="2" t="e">
        <f>INDEX(Data!AF:AF,MATCH($P326,Data!$AL:$AL,0))</f>
        <v>#N/A</v>
      </c>
      <c r="O326" s="2" t="e">
        <f>INDEX(Data!Q:Q,MATCH($P326,Data!$AL:$AL,0))</f>
        <v>#N/A</v>
      </c>
      <c r="Q326" s="3" t="str">
        <f t="shared" si="5"/>
        <v>NCL</v>
      </c>
    </row>
    <row r="327" spans="1:17" x14ac:dyDescent="0.25">
      <c r="A327" s="3">
        <v>334</v>
      </c>
      <c r="B327" s="216" t="s">
        <v>41</v>
      </c>
      <c r="C327" s="7">
        <f>INDEX(Data!M:M,MATCH(Q327,Data!AM:AM,0))</f>
        <v>0</v>
      </c>
      <c r="D327" s="7">
        <f>INDEX(Data!O:O,MATCH(Q327,Data!AM:AM,0))</f>
        <v>0</v>
      </c>
      <c r="E327" t="e">
        <f>INDEX(Data!T:T,MATCH($P327,Data!$AL:$AL,0))</f>
        <v>#N/A</v>
      </c>
      <c r="F327" t="e">
        <f>INDEX(Data!P:P,MATCH($P327,Data!$AL:$AL,0))</f>
        <v>#N/A</v>
      </c>
      <c r="G327" t="e">
        <f>INDEX(Data!Z:Z,MATCH($P327,Data!$AL:$AL,0))</f>
        <v>#N/A</v>
      </c>
      <c r="H327" t="e">
        <f>INDEX(Data!AA:AA,MATCH($P327,Data!$AL:$AL,0))</f>
        <v>#N/A</v>
      </c>
      <c r="I327" t="e">
        <f>INDEX(Data!AB:AB,MATCH($P327,Data!$AL:$AL,0))</f>
        <v>#N/A</v>
      </c>
      <c r="J327" t="e">
        <f>INDEX(Data!V:V,MATCH($P327,Data!$AL:$AL,0))</f>
        <v>#N/A</v>
      </c>
      <c r="K327" t="e">
        <f>INDEX(Data!W:W,MATCH($P327,Data!$AL:$AL,0))</f>
        <v>#N/A</v>
      </c>
      <c r="L327" t="e">
        <f>INDEX(Data!X:X,MATCH($P327,Data!$AL:$AL,0))</f>
        <v>#N/A</v>
      </c>
      <c r="M327" t="e">
        <f>INDEX(Data!AD:AD,MATCH($P327,Data!$AL:$AL,0))</f>
        <v>#N/A</v>
      </c>
      <c r="N327" t="e">
        <f>INDEX(Data!AF:AF,MATCH($P327,Data!$AL:$AL,0))</f>
        <v>#N/A</v>
      </c>
      <c r="O327" t="e">
        <f>INDEX(Data!Q:Q,MATCH($P327,Data!$AL:$AL,0))</f>
        <v>#N/A</v>
      </c>
      <c r="Q327" s="3" t="str">
        <f t="shared" si="5"/>
        <v>CL</v>
      </c>
    </row>
    <row r="328" spans="1:17" x14ac:dyDescent="0.25">
      <c r="A328" s="3">
        <v>335</v>
      </c>
      <c r="B328" s="216" t="s">
        <v>42</v>
      </c>
      <c r="C328" s="7">
        <f>INDEX(Data!M:M,MATCH(Q328,Data!AM:AM,0))</f>
        <v>0</v>
      </c>
      <c r="D328" s="7">
        <f>INDEX(Data!O:O,MATCH(Q328,Data!AM:AM,0))</f>
        <v>0</v>
      </c>
      <c r="E328" t="e">
        <f>INDEX(Data!T:T,MATCH($P328,Data!$AL:$AL,0))</f>
        <v>#N/A</v>
      </c>
      <c r="F328" t="e">
        <f>INDEX(Data!P:P,MATCH($P328,Data!$AL:$AL,0))</f>
        <v>#N/A</v>
      </c>
      <c r="G328" t="e">
        <f>INDEX(Data!Z:Z,MATCH($P328,Data!$AL:$AL,0))</f>
        <v>#N/A</v>
      </c>
      <c r="H328" t="e">
        <f>INDEX(Data!AA:AA,MATCH($P328,Data!$AL:$AL,0))</f>
        <v>#N/A</v>
      </c>
      <c r="I328" t="e">
        <f>INDEX(Data!AB:AB,MATCH($P328,Data!$AL:$AL,0))</f>
        <v>#N/A</v>
      </c>
      <c r="J328" t="e">
        <f>INDEX(Data!V:V,MATCH($P328,Data!$AL:$AL,0))</f>
        <v>#N/A</v>
      </c>
      <c r="K328" t="e">
        <f>INDEX(Data!W:W,MATCH($P328,Data!$AL:$AL,0))</f>
        <v>#N/A</v>
      </c>
      <c r="L328" t="e">
        <f>INDEX(Data!X:X,MATCH($P328,Data!$AL:$AL,0))</f>
        <v>#N/A</v>
      </c>
      <c r="M328" t="e">
        <f>INDEX(Data!AD:AD,MATCH($P328,Data!$AL:$AL,0))</f>
        <v>#N/A</v>
      </c>
      <c r="N328" t="e">
        <f>INDEX(Data!AF:AF,MATCH($P328,Data!$AL:$AL,0))</f>
        <v>#N/A</v>
      </c>
      <c r="O328" t="e">
        <f>INDEX(Data!Q:Q,MATCH($P328,Data!$AL:$AL,0))</f>
        <v>#N/A</v>
      </c>
      <c r="Q328" s="3" t="str">
        <f t="shared" si="5"/>
        <v>ACL</v>
      </c>
    </row>
    <row r="329" spans="1:17" x14ac:dyDescent="0.25">
      <c r="A329" s="3">
        <v>336</v>
      </c>
      <c r="B329" s="216" t="s">
        <v>43</v>
      </c>
      <c r="C329" s="7">
        <f>INDEX(Data!M:M,MATCH(Q329,Data!AM:AM,0))</f>
        <v>0</v>
      </c>
      <c r="D329" s="7">
        <f>INDEX(Data!O:O,MATCH(Q329,Data!AM:AM,0))</f>
        <v>0</v>
      </c>
      <c r="E329" t="e">
        <f>INDEX(Data!T:T,MATCH($P329,Data!$AL:$AL,0))</f>
        <v>#N/A</v>
      </c>
      <c r="F329" t="e">
        <f>INDEX(Data!P:P,MATCH($P329,Data!$AL:$AL,0))</f>
        <v>#N/A</v>
      </c>
      <c r="G329" t="e">
        <f>INDEX(Data!Z:Z,MATCH($P329,Data!$AL:$AL,0))</f>
        <v>#N/A</v>
      </c>
      <c r="H329" t="e">
        <f>INDEX(Data!AA:AA,MATCH($P329,Data!$AL:$AL,0))</f>
        <v>#N/A</v>
      </c>
      <c r="I329" t="e">
        <f>INDEX(Data!AB:AB,MATCH($P329,Data!$AL:$AL,0))</f>
        <v>#N/A</v>
      </c>
      <c r="J329" t="e">
        <f>INDEX(Data!V:V,MATCH($P329,Data!$AL:$AL,0))</f>
        <v>#N/A</v>
      </c>
      <c r="K329" t="e">
        <f>INDEX(Data!W:W,MATCH($P329,Data!$AL:$AL,0))</f>
        <v>#N/A</v>
      </c>
      <c r="L329" t="e">
        <f>INDEX(Data!X:X,MATCH($P329,Data!$AL:$AL,0))</f>
        <v>#N/A</v>
      </c>
      <c r="M329" t="e">
        <f>INDEX(Data!AD:AD,MATCH($P329,Data!$AL:$AL,0))</f>
        <v>#N/A</v>
      </c>
      <c r="N329" t="e">
        <f>INDEX(Data!AF:AF,MATCH($P329,Data!$AL:$AL,0))</f>
        <v>#N/A</v>
      </c>
      <c r="O329" t="e">
        <f>INDEX(Data!Q:Q,MATCH($P329,Data!$AL:$AL,0))</f>
        <v>#N/A</v>
      </c>
      <c r="Q329" s="3" t="str">
        <f t="shared" si="5"/>
        <v>SPCL</v>
      </c>
    </row>
    <row r="330" spans="1:17" x14ac:dyDescent="0.25">
      <c r="A330" s="4">
        <v>337</v>
      </c>
      <c r="B330" s="217" t="s">
        <v>44</v>
      </c>
      <c r="C330" s="8">
        <f>INDEX(Data!M:M,MATCH(Q330,Data!AM:AM,0))</f>
        <v>0</v>
      </c>
      <c r="D330" s="8">
        <f>INDEX(Data!O:O,MATCH(Q330,Data!AM:AM,0))</f>
        <v>0</v>
      </c>
      <c r="E330" s="1" t="e">
        <f>INDEX(Data!T:T,MATCH($P330,Data!$AL:$AL,0))</f>
        <v>#N/A</v>
      </c>
      <c r="F330" s="1" t="e">
        <f>INDEX(Data!P:P,MATCH($P330,Data!$AL:$AL,0))</f>
        <v>#N/A</v>
      </c>
      <c r="G330" s="1" t="e">
        <f>INDEX(Data!Z:Z,MATCH($P330,Data!$AL:$AL,0))</f>
        <v>#N/A</v>
      </c>
      <c r="H330" s="1" t="e">
        <f>INDEX(Data!AA:AA,MATCH($P330,Data!$AL:$AL,0))</f>
        <v>#N/A</v>
      </c>
      <c r="I330" s="1" t="e">
        <f>INDEX(Data!AB:AB,MATCH($P330,Data!$AL:$AL,0))</f>
        <v>#N/A</v>
      </c>
      <c r="J330" s="1" t="e">
        <f>INDEX(Data!V:V,MATCH($P330,Data!$AL:$AL,0))</f>
        <v>#N/A</v>
      </c>
      <c r="K330" s="1" t="e">
        <f>INDEX(Data!W:W,MATCH($P330,Data!$AL:$AL,0))</f>
        <v>#N/A</v>
      </c>
      <c r="L330" s="1" t="e">
        <f>INDEX(Data!X:X,MATCH($P330,Data!$AL:$AL,0))</f>
        <v>#N/A</v>
      </c>
      <c r="M330" s="1" t="e">
        <f>INDEX(Data!AD:AD,MATCH($P330,Data!$AL:$AL,0))</f>
        <v>#N/A</v>
      </c>
      <c r="N330" s="1" t="e">
        <f>INDEX(Data!AF:AF,MATCH($P330,Data!$AL:$AL,0))</f>
        <v>#N/A</v>
      </c>
      <c r="O330" s="1" t="e">
        <f>INDEX(Data!Q:Q,MATCH($P330,Data!$AL:$AL,0))</f>
        <v>#N/A</v>
      </c>
      <c r="P330" s="1"/>
      <c r="Q330" s="4" t="str">
        <f t="shared" si="5"/>
        <v>SPACL</v>
      </c>
    </row>
    <row r="331" spans="1:17" x14ac:dyDescent="0.25">
      <c r="A331" s="3">
        <v>338</v>
      </c>
      <c r="B331" s="218" t="s">
        <v>40</v>
      </c>
      <c r="C331" s="6">
        <f>INDEX(Data!M:M,MATCH(Q331,Data!AM:AM,0))</f>
        <v>0</v>
      </c>
      <c r="D331" s="6">
        <f>INDEX(Data!O:O,MATCH(Q331,Data!AM:AM,0))</f>
        <v>0</v>
      </c>
      <c r="E331" s="2" t="e">
        <f>INDEX(Data!T:T,MATCH($P331,Data!$AL:$AL,0))</f>
        <v>#N/A</v>
      </c>
      <c r="F331" s="2" t="e">
        <f>INDEX(Data!P:P,MATCH($P331,Data!$AL:$AL,0))</f>
        <v>#N/A</v>
      </c>
      <c r="G331" s="2" t="e">
        <f>INDEX(Data!Z:Z,MATCH($P331,Data!$AL:$AL,0))</f>
        <v>#N/A</v>
      </c>
      <c r="H331" s="2" t="e">
        <f>INDEX(Data!AA:AA,MATCH($P331,Data!$AL:$AL,0))</f>
        <v>#N/A</v>
      </c>
      <c r="I331" s="2" t="e">
        <f>INDEX(Data!AB:AB,MATCH($P331,Data!$AL:$AL,0))</f>
        <v>#N/A</v>
      </c>
      <c r="J331" s="2" t="e">
        <f>INDEX(Data!V:V,MATCH($P331,Data!$AL:$AL,0))</f>
        <v>#N/A</v>
      </c>
      <c r="K331" s="2" t="e">
        <f>INDEX(Data!W:W,MATCH($P331,Data!$AL:$AL,0))</f>
        <v>#N/A</v>
      </c>
      <c r="L331" s="2" t="e">
        <f>INDEX(Data!X:X,MATCH($P331,Data!$AL:$AL,0))</f>
        <v>#N/A</v>
      </c>
      <c r="M331" s="2" t="e">
        <f>INDEX(Data!AD:AD,MATCH($P331,Data!$AL:$AL,0))</f>
        <v>#N/A</v>
      </c>
      <c r="N331" s="2" t="e">
        <f>INDEX(Data!AF:AF,MATCH($P331,Data!$AL:$AL,0))</f>
        <v>#N/A</v>
      </c>
      <c r="O331" s="2" t="e">
        <f>INDEX(Data!Q:Q,MATCH($P331,Data!$AL:$AL,0))</f>
        <v>#N/A</v>
      </c>
      <c r="Q331" s="3" t="str">
        <f t="shared" si="5"/>
        <v>NCL</v>
      </c>
    </row>
    <row r="332" spans="1:17" x14ac:dyDescent="0.25">
      <c r="A332" s="3">
        <v>339</v>
      </c>
      <c r="B332" s="216" t="s">
        <v>41</v>
      </c>
      <c r="C332" s="7">
        <f>INDEX(Data!M:M,MATCH(Q332,Data!AM:AM,0))</f>
        <v>0</v>
      </c>
      <c r="D332" s="7">
        <f>INDEX(Data!O:O,MATCH(Q332,Data!AM:AM,0))</f>
        <v>0</v>
      </c>
      <c r="E332" t="e">
        <f>INDEX(Data!T:T,MATCH($P332,Data!$AL:$AL,0))</f>
        <v>#N/A</v>
      </c>
      <c r="F332" t="e">
        <f>INDEX(Data!P:P,MATCH($P332,Data!$AL:$AL,0))</f>
        <v>#N/A</v>
      </c>
      <c r="G332" t="e">
        <f>INDEX(Data!Z:Z,MATCH($P332,Data!$AL:$AL,0))</f>
        <v>#N/A</v>
      </c>
      <c r="H332" t="e">
        <f>INDEX(Data!AA:AA,MATCH($P332,Data!$AL:$AL,0))</f>
        <v>#N/A</v>
      </c>
      <c r="I332" t="e">
        <f>INDEX(Data!AB:AB,MATCH($P332,Data!$AL:$AL,0))</f>
        <v>#N/A</v>
      </c>
      <c r="J332" t="e">
        <f>INDEX(Data!V:V,MATCH($P332,Data!$AL:$AL,0))</f>
        <v>#N/A</v>
      </c>
      <c r="K332" t="e">
        <f>INDEX(Data!W:W,MATCH($P332,Data!$AL:$AL,0))</f>
        <v>#N/A</v>
      </c>
      <c r="L332" t="e">
        <f>INDEX(Data!X:X,MATCH($P332,Data!$AL:$AL,0))</f>
        <v>#N/A</v>
      </c>
      <c r="M332" t="e">
        <f>INDEX(Data!AD:AD,MATCH($P332,Data!$AL:$AL,0))</f>
        <v>#N/A</v>
      </c>
      <c r="N332" t="e">
        <f>INDEX(Data!AF:AF,MATCH($P332,Data!$AL:$AL,0))</f>
        <v>#N/A</v>
      </c>
      <c r="O332" t="e">
        <f>INDEX(Data!Q:Q,MATCH($P332,Data!$AL:$AL,0))</f>
        <v>#N/A</v>
      </c>
      <c r="Q332" s="3" t="str">
        <f t="shared" si="5"/>
        <v>CL</v>
      </c>
    </row>
    <row r="333" spans="1:17" x14ac:dyDescent="0.25">
      <c r="A333" s="3">
        <v>340</v>
      </c>
      <c r="B333" s="216" t="s">
        <v>42</v>
      </c>
      <c r="C333" s="7">
        <f>INDEX(Data!M:M,MATCH(Q333,Data!AM:AM,0))</f>
        <v>0</v>
      </c>
      <c r="D333" s="7">
        <f>INDEX(Data!O:O,MATCH(Q333,Data!AM:AM,0))</f>
        <v>0</v>
      </c>
      <c r="E333" t="e">
        <f>INDEX(Data!T:T,MATCH($P333,Data!$AL:$AL,0))</f>
        <v>#N/A</v>
      </c>
      <c r="F333" t="e">
        <f>INDEX(Data!P:P,MATCH($P333,Data!$AL:$AL,0))</f>
        <v>#N/A</v>
      </c>
      <c r="G333" t="e">
        <f>INDEX(Data!Z:Z,MATCH($P333,Data!$AL:$AL,0))</f>
        <v>#N/A</v>
      </c>
      <c r="H333" t="e">
        <f>INDEX(Data!AA:AA,MATCH($P333,Data!$AL:$AL,0))</f>
        <v>#N/A</v>
      </c>
      <c r="I333" t="e">
        <f>INDEX(Data!AB:AB,MATCH($P333,Data!$AL:$AL,0))</f>
        <v>#N/A</v>
      </c>
      <c r="J333" t="e">
        <f>INDEX(Data!V:V,MATCH($P333,Data!$AL:$AL,0))</f>
        <v>#N/A</v>
      </c>
      <c r="K333" t="e">
        <f>INDEX(Data!W:W,MATCH($P333,Data!$AL:$AL,0))</f>
        <v>#N/A</v>
      </c>
      <c r="L333" t="e">
        <f>INDEX(Data!X:X,MATCH($P333,Data!$AL:$AL,0))</f>
        <v>#N/A</v>
      </c>
      <c r="M333" t="e">
        <f>INDEX(Data!AD:AD,MATCH($P333,Data!$AL:$AL,0))</f>
        <v>#N/A</v>
      </c>
      <c r="N333" t="e">
        <f>INDEX(Data!AF:AF,MATCH($P333,Data!$AL:$AL,0))</f>
        <v>#N/A</v>
      </c>
      <c r="O333" t="e">
        <f>INDEX(Data!Q:Q,MATCH($P333,Data!$AL:$AL,0))</f>
        <v>#N/A</v>
      </c>
      <c r="Q333" s="3" t="str">
        <f t="shared" si="5"/>
        <v>ACL</v>
      </c>
    </row>
    <row r="334" spans="1:17" x14ac:dyDescent="0.25">
      <c r="A334" s="3">
        <v>341</v>
      </c>
      <c r="B334" s="216" t="s">
        <v>43</v>
      </c>
      <c r="C334" s="7">
        <f>INDEX(Data!M:M,MATCH(Q334,Data!AM:AM,0))</f>
        <v>0</v>
      </c>
      <c r="D334" s="7">
        <f>INDEX(Data!O:O,MATCH(Q334,Data!AM:AM,0))</f>
        <v>0</v>
      </c>
      <c r="E334" t="e">
        <f>INDEX(Data!T:T,MATCH($P334,Data!$AL:$AL,0))</f>
        <v>#N/A</v>
      </c>
      <c r="F334" t="e">
        <f>INDEX(Data!P:P,MATCH($P334,Data!$AL:$AL,0))</f>
        <v>#N/A</v>
      </c>
      <c r="G334" t="e">
        <f>INDEX(Data!Z:Z,MATCH($P334,Data!$AL:$AL,0))</f>
        <v>#N/A</v>
      </c>
      <c r="H334" t="e">
        <f>INDEX(Data!AA:AA,MATCH($P334,Data!$AL:$AL,0))</f>
        <v>#N/A</v>
      </c>
      <c r="I334" t="e">
        <f>INDEX(Data!AB:AB,MATCH($P334,Data!$AL:$AL,0))</f>
        <v>#N/A</v>
      </c>
      <c r="J334" t="e">
        <f>INDEX(Data!V:V,MATCH($P334,Data!$AL:$AL,0))</f>
        <v>#N/A</v>
      </c>
      <c r="K334" t="e">
        <f>INDEX(Data!W:W,MATCH($P334,Data!$AL:$AL,0))</f>
        <v>#N/A</v>
      </c>
      <c r="L334" t="e">
        <f>INDEX(Data!X:X,MATCH($P334,Data!$AL:$AL,0))</f>
        <v>#N/A</v>
      </c>
      <c r="M334" t="e">
        <f>INDEX(Data!AD:AD,MATCH($P334,Data!$AL:$AL,0))</f>
        <v>#N/A</v>
      </c>
      <c r="N334" t="e">
        <f>INDEX(Data!AF:AF,MATCH($P334,Data!$AL:$AL,0))</f>
        <v>#N/A</v>
      </c>
      <c r="O334" t="e">
        <f>INDEX(Data!Q:Q,MATCH($P334,Data!$AL:$AL,0))</f>
        <v>#N/A</v>
      </c>
      <c r="Q334" s="3" t="str">
        <f t="shared" si="5"/>
        <v>SPCL</v>
      </c>
    </row>
    <row r="335" spans="1:17" x14ac:dyDescent="0.25">
      <c r="A335" s="4">
        <v>342</v>
      </c>
      <c r="B335" s="217" t="s">
        <v>44</v>
      </c>
      <c r="C335" s="8">
        <f>INDEX(Data!M:M,MATCH(Q335,Data!AM:AM,0))</f>
        <v>0</v>
      </c>
      <c r="D335" s="8">
        <f>INDEX(Data!O:O,MATCH(Q335,Data!AM:AM,0))</f>
        <v>0</v>
      </c>
      <c r="E335" s="1" t="e">
        <f>INDEX(Data!T:T,MATCH($P335,Data!$AL:$AL,0))</f>
        <v>#N/A</v>
      </c>
      <c r="F335" s="1" t="e">
        <f>INDEX(Data!P:P,MATCH($P335,Data!$AL:$AL,0))</f>
        <v>#N/A</v>
      </c>
      <c r="G335" s="1" t="e">
        <f>INDEX(Data!Z:Z,MATCH($P335,Data!$AL:$AL,0))</f>
        <v>#N/A</v>
      </c>
      <c r="H335" s="1" t="e">
        <f>INDEX(Data!AA:AA,MATCH($P335,Data!$AL:$AL,0))</f>
        <v>#N/A</v>
      </c>
      <c r="I335" s="1" t="e">
        <f>INDEX(Data!AB:AB,MATCH($P335,Data!$AL:$AL,0))</f>
        <v>#N/A</v>
      </c>
      <c r="J335" s="1" t="e">
        <f>INDEX(Data!V:V,MATCH($P335,Data!$AL:$AL,0))</f>
        <v>#N/A</v>
      </c>
      <c r="K335" s="1" t="e">
        <f>INDEX(Data!W:W,MATCH($P335,Data!$AL:$AL,0))</f>
        <v>#N/A</v>
      </c>
      <c r="L335" s="1" t="e">
        <f>INDEX(Data!X:X,MATCH($P335,Data!$AL:$AL,0))</f>
        <v>#N/A</v>
      </c>
      <c r="M335" s="1" t="e">
        <f>INDEX(Data!AD:AD,MATCH($P335,Data!$AL:$AL,0))</f>
        <v>#N/A</v>
      </c>
      <c r="N335" s="1" t="e">
        <f>INDEX(Data!AF:AF,MATCH($P335,Data!$AL:$AL,0))</f>
        <v>#N/A</v>
      </c>
      <c r="O335" s="1" t="e">
        <f>INDEX(Data!Q:Q,MATCH($P335,Data!$AL:$AL,0))</f>
        <v>#N/A</v>
      </c>
      <c r="P335" s="1"/>
      <c r="Q335" s="4" t="str">
        <f t="shared" si="5"/>
        <v>SPACL</v>
      </c>
    </row>
    <row r="336" spans="1:17" x14ac:dyDescent="0.25">
      <c r="A336" s="3">
        <v>343</v>
      </c>
      <c r="B336" s="218" t="s">
        <v>40</v>
      </c>
      <c r="C336" s="6">
        <f>INDEX(Data!M:M,MATCH(Q336,Data!AM:AM,0))</f>
        <v>0</v>
      </c>
      <c r="D336" s="6">
        <f>INDEX(Data!O:O,MATCH(Q336,Data!AM:AM,0))</f>
        <v>0</v>
      </c>
      <c r="E336" s="2" t="e">
        <f>INDEX(Data!T:T,MATCH($P336,Data!$AL:$AL,0))</f>
        <v>#N/A</v>
      </c>
      <c r="F336" s="2" t="e">
        <f>INDEX(Data!P:P,MATCH($P336,Data!$AL:$AL,0))</f>
        <v>#N/A</v>
      </c>
      <c r="G336" s="2" t="e">
        <f>INDEX(Data!Z:Z,MATCH($P336,Data!$AL:$AL,0))</f>
        <v>#N/A</v>
      </c>
      <c r="H336" s="2" t="e">
        <f>INDEX(Data!AA:AA,MATCH($P336,Data!$AL:$AL,0))</f>
        <v>#N/A</v>
      </c>
      <c r="I336" s="2" t="e">
        <f>INDEX(Data!AB:AB,MATCH($P336,Data!$AL:$AL,0))</f>
        <v>#N/A</v>
      </c>
      <c r="J336" s="2" t="e">
        <f>INDEX(Data!V:V,MATCH($P336,Data!$AL:$AL,0))</f>
        <v>#N/A</v>
      </c>
      <c r="K336" s="2" t="e">
        <f>INDEX(Data!W:W,MATCH($P336,Data!$AL:$AL,0))</f>
        <v>#N/A</v>
      </c>
      <c r="L336" s="2" t="e">
        <f>INDEX(Data!X:X,MATCH($P336,Data!$AL:$AL,0))</f>
        <v>#N/A</v>
      </c>
      <c r="M336" s="2" t="e">
        <f>INDEX(Data!AD:AD,MATCH($P336,Data!$AL:$AL,0))</f>
        <v>#N/A</v>
      </c>
      <c r="N336" s="2" t="e">
        <f>INDEX(Data!AF:AF,MATCH($P336,Data!$AL:$AL,0))</f>
        <v>#N/A</v>
      </c>
      <c r="O336" s="2" t="e">
        <f>INDEX(Data!Q:Q,MATCH($P336,Data!$AL:$AL,0))</f>
        <v>#N/A</v>
      </c>
      <c r="Q336" s="3" t="str">
        <f t="shared" si="5"/>
        <v>NCL</v>
      </c>
    </row>
    <row r="337" spans="1:17" x14ac:dyDescent="0.25">
      <c r="A337" s="3">
        <v>344</v>
      </c>
      <c r="B337" s="216" t="s">
        <v>41</v>
      </c>
      <c r="C337" s="7">
        <f>INDEX(Data!M:M,MATCH(Q337,Data!AM:AM,0))</f>
        <v>0</v>
      </c>
      <c r="D337" s="7">
        <f>INDEX(Data!O:O,MATCH(Q337,Data!AM:AM,0))</f>
        <v>0</v>
      </c>
      <c r="E337" t="e">
        <f>INDEX(Data!T:T,MATCH($P337,Data!$AL:$AL,0))</f>
        <v>#N/A</v>
      </c>
      <c r="F337" t="e">
        <f>INDEX(Data!P:P,MATCH($P337,Data!$AL:$AL,0))</f>
        <v>#N/A</v>
      </c>
      <c r="G337" t="e">
        <f>INDEX(Data!Z:Z,MATCH($P337,Data!$AL:$AL,0))</f>
        <v>#N/A</v>
      </c>
      <c r="H337" t="e">
        <f>INDEX(Data!AA:AA,MATCH($P337,Data!$AL:$AL,0))</f>
        <v>#N/A</v>
      </c>
      <c r="I337" t="e">
        <f>INDEX(Data!AB:AB,MATCH($P337,Data!$AL:$AL,0))</f>
        <v>#N/A</v>
      </c>
      <c r="J337" t="e">
        <f>INDEX(Data!V:V,MATCH($P337,Data!$AL:$AL,0))</f>
        <v>#N/A</v>
      </c>
      <c r="K337" t="e">
        <f>INDEX(Data!W:W,MATCH($P337,Data!$AL:$AL,0))</f>
        <v>#N/A</v>
      </c>
      <c r="L337" t="e">
        <f>INDEX(Data!X:X,MATCH($P337,Data!$AL:$AL,0))</f>
        <v>#N/A</v>
      </c>
      <c r="M337" t="e">
        <f>INDEX(Data!AD:AD,MATCH($P337,Data!$AL:$AL,0))</f>
        <v>#N/A</v>
      </c>
      <c r="N337" t="e">
        <f>INDEX(Data!AF:AF,MATCH($P337,Data!$AL:$AL,0))</f>
        <v>#N/A</v>
      </c>
      <c r="O337" t="e">
        <f>INDEX(Data!Q:Q,MATCH($P337,Data!$AL:$AL,0))</f>
        <v>#N/A</v>
      </c>
      <c r="Q337" s="3" t="str">
        <f t="shared" si="5"/>
        <v>CL</v>
      </c>
    </row>
    <row r="338" spans="1:17" x14ac:dyDescent="0.25">
      <c r="A338" s="3">
        <v>345</v>
      </c>
      <c r="B338" s="216" t="s">
        <v>42</v>
      </c>
      <c r="C338" s="7">
        <f>INDEX(Data!M:M,MATCH(Q338,Data!AM:AM,0))</f>
        <v>0</v>
      </c>
      <c r="D338" s="7">
        <f>INDEX(Data!O:O,MATCH(Q338,Data!AM:AM,0))</f>
        <v>0</v>
      </c>
      <c r="E338" t="e">
        <f>INDEX(Data!T:T,MATCH($P338,Data!$AL:$AL,0))</f>
        <v>#N/A</v>
      </c>
      <c r="F338" t="e">
        <f>INDEX(Data!P:P,MATCH($P338,Data!$AL:$AL,0))</f>
        <v>#N/A</v>
      </c>
      <c r="G338" t="e">
        <f>INDEX(Data!Z:Z,MATCH($P338,Data!$AL:$AL,0))</f>
        <v>#N/A</v>
      </c>
      <c r="H338" t="e">
        <f>INDEX(Data!AA:AA,MATCH($P338,Data!$AL:$AL,0))</f>
        <v>#N/A</v>
      </c>
      <c r="I338" t="e">
        <f>INDEX(Data!AB:AB,MATCH($P338,Data!$AL:$AL,0))</f>
        <v>#N/A</v>
      </c>
      <c r="J338" t="e">
        <f>INDEX(Data!V:V,MATCH($P338,Data!$AL:$AL,0))</f>
        <v>#N/A</v>
      </c>
      <c r="K338" t="e">
        <f>INDEX(Data!W:W,MATCH($P338,Data!$AL:$AL,0))</f>
        <v>#N/A</v>
      </c>
      <c r="L338" t="e">
        <f>INDEX(Data!X:X,MATCH($P338,Data!$AL:$AL,0))</f>
        <v>#N/A</v>
      </c>
      <c r="M338" t="e">
        <f>INDEX(Data!AD:AD,MATCH($P338,Data!$AL:$AL,0))</f>
        <v>#N/A</v>
      </c>
      <c r="N338" t="e">
        <f>INDEX(Data!AF:AF,MATCH($P338,Data!$AL:$AL,0))</f>
        <v>#N/A</v>
      </c>
      <c r="O338" t="e">
        <f>INDEX(Data!Q:Q,MATCH($P338,Data!$AL:$AL,0))</f>
        <v>#N/A</v>
      </c>
      <c r="Q338" s="3" t="str">
        <f t="shared" si="5"/>
        <v>ACL</v>
      </c>
    </row>
    <row r="339" spans="1:17" x14ac:dyDescent="0.25">
      <c r="A339" s="3">
        <v>346</v>
      </c>
      <c r="B339" s="216" t="s">
        <v>43</v>
      </c>
      <c r="C339" s="7">
        <f>INDEX(Data!M:M,MATCH(Q339,Data!AM:AM,0))</f>
        <v>0</v>
      </c>
      <c r="D339" s="7">
        <f>INDEX(Data!O:O,MATCH(Q339,Data!AM:AM,0))</f>
        <v>0</v>
      </c>
      <c r="E339" t="e">
        <f>INDEX(Data!T:T,MATCH($P339,Data!$AL:$AL,0))</f>
        <v>#N/A</v>
      </c>
      <c r="F339" t="e">
        <f>INDEX(Data!P:P,MATCH($P339,Data!$AL:$AL,0))</f>
        <v>#N/A</v>
      </c>
      <c r="G339" t="e">
        <f>INDEX(Data!Z:Z,MATCH($P339,Data!$AL:$AL,0))</f>
        <v>#N/A</v>
      </c>
      <c r="H339" t="e">
        <f>INDEX(Data!AA:AA,MATCH($P339,Data!$AL:$AL,0))</f>
        <v>#N/A</v>
      </c>
      <c r="I339" t="e">
        <f>INDEX(Data!AB:AB,MATCH($P339,Data!$AL:$AL,0))</f>
        <v>#N/A</v>
      </c>
      <c r="J339" t="e">
        <f>INDEX(Data!V:V,MATCH($P339,Data!$AL:$AL,0))</f>
        <v>#N/A</v>
      </c>
      <c r="K339" t="e">
        <f>INDEX(Data!W:W,MATCH($P339,Data!$AL:$AL,0))</f>
        <v>#N/A</v>
      </c>
      <c r="L339" t="e">
        <f>INDEX(Data!X:X,MATCH($P339,Data!$AL:$AL,0))</f>
        <v>#N/A</v>
      </c>
      <c r="M339" t="e">
        <f>INDEX(Data!AD:AD,MATCH($P339,Data!$AL:$AL,0))</f>
        <v>#N/A</v>
      </c>
      <c r="N339" t="e">
        <f>INDEX(Data!AF:AF,MATCH($P339,Data!$AL:$AL,0))</f>
        <v>#N/A</v>
      </c>
      <c r="O339" t="e">
        <f>INDEX(Data!Q:Q,MATCH($P339,Data!$AL:$AL,0))</f>
        <v>#N/A</v>
      </c>
      <c r="Q339" s="3" t="str">
        <f t="shared" si="5"/>
        <v>SPCL</v>
      </c>
    </row>
    <row r="340" spans="1:17" x14ac:dyDescent="0.25">
      <c r="A340" s="4">
        <v>347</v>
      </c>
      <c r="B340" s="217" t="s">
        <v>44</v>
      </c>
      <c r="C340" s="8">
        <f>INDEX(Data!M:M,MATCH(Q340,Data!AM:AM,0))</f>
        <v>0</v>
      </c>
      <c r="D340" s="8">
        <f>INDEX(Data!O:O,MATCH(Q340,Data!AM:AM,0))</f>
        <v>0</v>
      </c>
      <c r="E340" s="1" t="e">
        <f>INDEX(Data!T:T,MATCH($P340,Data!$AL:$AL,0))</f>
        <v>#N/A</v>
      </c>
      <c r="F340" s="1" t="e">
        <f>INDEX(Data!P:P,MATCH($P340,Data!$AL:$AL,0))</f>
        <v>#N/A</v>
      </c>
      <c r="G340" s="1" t="e">
        <f>INDEX(Data!Z:Z,MATCH($P340,Data!$AL:$AL,0))</f>
        <v>#N/A</v>
      </c>
      <c r="H340" s="1" t="e">
        <f>INDEX(Data!AA:AA,MATCH($P340,Data!$AL:$AL,0))</f>
        <v>#N/A</v>
      </c>
      <c r="I340" s="1" t="e">
        <f>INDEX(Data!AB:AB,MATCH($P340,Data!$AL:$AL,0))</f>
        <v>#N/A</v>
      </c>
      <c r="J340" s="1" t="e">
        <f>INDEX(Data!V:V,MATCH($P340,Data!$AL:$AL,0))</f>
        <v>#N/A</v>
      </c>
      <c r="K340" s="1" t="e">
        <f>INDEX(Data!W:W,MATCH($P340,Data!$AL:$AL,0))</f>
        <v>#N/A</v>
      </c>
      <c r="L340" s="1" t="e">
        <f>INDEX(Data!X:X,MATCH($P340,Data!$AL:$AL,0))</f>
        <v>#N/A</v>
      </c>
      <c r="M340" s="1" t="e">
        <f>INDEX(Data!AD:AD,MATCH($P340,Data!$AL:$AL,0))</f>
        <v>#N/A</v>
      </c>
      <c r="N340" s="1" t="e">
        <f>INDEX(Data!AF:AF,MATCH($P340,Data!$AL:$AL,0))</f>
        <v>#N/A</v>
      </c>
      <c r="O340" s="1" t="e">
        <f>INDEX(Data!Q:Q,MATCH($P340,Data!$AL:$AL,0))</f>
        <v>#N/A</v>
      </c>
      <c r="P340" s="1"/>
      <c r="Q340" s="4" t="str">
        <f t="shared" si="5"/>
        <v>SPACL</v>
      </c>
    </row>
    <row r="341" spans="1:17" x14ac:dyDescent="0.25">
      <c r="A341" s="3">
        <v>348</v>
      </c>
      <c r="B341" s="218" t="s">
        <v>40</v>
      </c>
      <c r="C341" s="6">
        <f>INDEX(Data!M:M,MATCH(Q341,Data!AM:AM,0))</f>
        <v>0</v>
      </c>
      <c r="D341" s="6">
        <f>INDEX(Data!O:O,MATCH(Q341,Data!AM:AM,0))</f>
        <v>0</v>
      </c>
      <c r="E341" s="2" t="e">
        <f>INDEX(Data!T:T,MATCH($P341,Data!$AL:$AL,0))</f>
        <v>#N/A</v>
      </c>
      <c r="F341" s="2" t="e">
        <f>INDEX(Data!P:P,MATCH($P341,Data!$AL:$AL,0))</f>
        <v>#N/A</v>
      </c>
      <c r="G341" s="2" t="e">
        <f>INDEX(Data!Z:Z,MATCH($P341,Data!$AL:$AL,0))</f>
        <v>#N/A</v>
      </c>
      <c r="H341" s="2" t="e">
        <f>INDEX(Data!AA:AA,MATCH($P341,Data!$AL:$AL,0))</f>
        <v>#N/A</v>
      </c>
      <c r="I341" s="2" t="e">
        <f>INDEX(Data!AB:AB,MATCH($P341,Data!$AL:$AL,0))</f>
        <v>#N/A</v>
      </c>
      <c r="J341" s="2" t="e">
        <f>INDEX(Data!V:V,MATCH($P341,Data!$AL:$AL,0))</f>
        <v>#N/A</v>
      </c>
      <c r="K341" s="2" t="e">
        <f>INDEX(Data!W:W,MATCH($P341,Data!$AL:$AL,0))</f>
        <v>#N/A</v>
      </c>
      <c r="L341" s="2" t="e">
        <f>INDEX(Data!X:X,MATCH($P341,Data!$AL:$AL,0))</f>
        <v>#N/A</v>
      </c>
      <c r="M341" s="2" t="e">
        <f>INDEX(Data!AD:AD,MATCH($P341,Data!$AL:$AL,0))</f>
        <v>#N/A</v>
      </c>
      <c r="N341" s="2" t="e">
        <f>INDEX(Data!AF:AF,MATCH($P341,Data!$AL:$AL,0))</f>
        <v>#N/A</v>
      </c>
      <c r="O341" s="2" t="e">
        <f>INDEX(Data!Q:Q,MATCH($P341,Data!$AL:$AL,0))</f>
        <v>#N/A</v>
      </c>
      <c r="Q341" s="3" t="str">
        <f t="shared" si="5"/>
        <v>NCL</v>
      </c>
    </row>
    <row r="342" spans="1:17" x14ac:dyDescent="0.25">
      <c r="A342" s="3">
        <v>349</v>
      </c>
      <c r="B342" s="216" t="s">
        <v>41</v>
      </c>
      <c r="C342" s="7">
        <f>INDEX(Data!M:M,MATCH(Q342,Data!AM:AM,0))</f>
        <v>0</v>
      </c>
      <c r="D342" s="7">
        <f>INDEX(Data!O:O,MATCH(Q342,Data!AM:AM,0))</f>
        <v>0</v>
      </c>
      <c r="E342" t="e">
        <f>INDEX(Data!T:T,MATCH($P342,Data!$AL:$AL,0))</f>
        <v>#N/A</v>
      </c>
      <c r="F342" t="e">
        <f>INDEX(Data!P:P,MATCH($P342,Data!$AL:$AL,0))</f>
        <v>#N/A</v>
      </c>
      <c r="G342" t="e">
        <f>INDEX(Data!Z:Z,MATCH($P342,Data!$AL:$AL,0))</f>
        <v>#N/A</v>
      </c>
      <c r="H342" t="e">
        <f>INDEX(Data!AA:AA,MATCH($P342,Data!$AL:$AL,0))</f>
        <v>#N/A</v>
      </c>
      <c r="I342" t="e">
        <f>INDEX(Data!AB:AB,MATCH($P342,Data!$AL:$AL,0))</f>
        <v>#N/A</v>
      </c>
      <c r="J342" t="e">
        <f>INDEX(Data!V:V,MATCH($P342,Data!$AL:$AL,0))</f>
        <v>#N/A</v>
      </c>
      <c r="K342" t="e">
        <f>INDEX(Data!W:W,MATCH($P342,Data!$AL:$AL,0))</f>
        <v>#N/A</v>
      </c>
      <c r="L342" t="e">
        <f>INDEX(Data!X:X,MATCH($P342,Data!$AL:$AL,0))</f>
        <v>#N/A</v>
      </c>
      <c r="M342" t="e">
        <f>INDEX(Data!AD:AD,MATCH($P342,Data!$AL:$AL,0))</f>
        <v>#N/A</v>
      </c>
      <c r="N342" t="e">
        <f>INDEX(Data!AF:AF,MATCH($P342,Data!$AL:$AL,0))</f>
        <v>#N/A</v>
      </c>
      <c r="O342" t="e">
        <f>INDEX(Data!Q:Q,MATCH($P342,Data!$AL:$AL,0))</f>
        <v>#N/A</v>
      </c>
      <c r="Q342" s="3" t="str">
        <f t="shared" si="5"/>
        <v>CL</v>
      </c>
    </row>
    <row r="343" spans="1:17" x14ac:dyDescent="0.25">
      <c r="A343" s="3">
        <v>350</v>
      </c>
      <c r="B343" s="216" t="s">
        <v>42</v>
      </c>
      <c r="C343" s="7">
        <f>INDEX(Data!M:M,MATCH(Q343,Data!AM:AM,0))</f>
        <v>0</v>
      </c>
      <c r="D343" s="7">
        <f>INDEX(Data!O:O,MATCH(Q343,Data!AM:AM,0))</f>
        <v>0</v>
      </c>
      <c r="E343" t="e">
        <f>INDEX(Data!T:T,MATCH($P343,Data!$AL:$AL,0))</f>
        <v>#N/A</v>
      </c>
      <c r="F343" t="e">
        <f>INDEX(Data!P:P,MATCH($P343,Data!$AL:$AL,0))</f>
        <v>#N/A</v>
      </c>
      <c r="G343" t="e">
        <f>INDEX(Data!Z:Z,MATCH($P343,Data!$AL:$AL,0))</f>
        <v>#N/A</v>
      </c>
      <c r="H343" t="e">
        <f>INDEX(Data!AA:AA,MATCH($P343,Data!$AL:$AL,0))</f>
        <v>#N/A</v>
      </c>
      <c r="I343" t="e">
        <f>INDEX(Data!AB:AB,MATCH($P343,Data!$AL:$AL,0))</f>
        <v>#N/A</v>
      </c>
      <c r="J343" t="e">
        <f>INDEX(Data!V:V,MATCH($P343,Data!$AL:$AL,0))</f>
        <v>#N/A</v>
      </c>
      <c r="K343" t="e">
        <f>INDEX(Data!W:W,MATCH($P343,Data!$AL:$AL,0))</f>
        <v>#N/A</v>
      </c>
      <c r="L343" t="e">
        <f>INDEX(Data!X:X,MATCH($P343,Data!$AL:$AL,0))</f>
        <v>#N/A</v>
      </c>
      <c r="M343" t="e">
        <f>INDEX(Data!AD:AD,MATCH($P343,Data!$AL:$AL,0))</f>
        <v>#N/A</v>
      </c>
      <c r="N343" t="e">
        <f>INDEX(Data!AF:AF,MATCH($P343,Data!$AL:$AL,0))</f>
        <v>#N/A</v>
      </c>
      <c r="O343" t="e">
        <f>INDEX(Data!Q:Q,MATCH($P343,Data!$AL:$AL,0))</f>
        <v>#N/A</v>
      </c>
      <c r="Q343" s="3" t="str">
        <f t="shared" si="5"/>
        <v>ACL</v>
      </c>
    </row>
    <row r="344" spans="1:17" x14ac:dyDescent="0.25">
      <c r="A344" s="3">
        <v>351</v>
      </c>
      <c r="B344" s="216" t="s">
        <v>43</v>
      </c>
      <c r="C344" s="7">
        <f>INDEX(Data!M:M,MATCH(Q344,Data!AM:AM,0))</f>
        <v>0</v>
      </c>
      <c r="D344" s="7">
        <f>INDEX(Data!O:O,MATCH(Q344,Data!AM:AM,0))</f>
        <v>0</v>
      </c>
      <c r="E344" t="e">
        <f>INDEX(Data!T:T,MATCH($P344,Data!$AL:$AL,0))</f>
        <v>#N/A</v>
      </c>
      <c r="F344" t="e">
        <f>INDEX(Data!P:P,MATCH($P344,Data!$AL:$AL,0))</f>
        <v>#N/A</v>
      </c>
      <c r="G344" t="e">
        <f>INDEX(Data!Z:Z,MATCH($P344,Data!$AL:$AL,0))</f>
        <v>#N/A</v>
      </c>
      <c r="H344" t="e">
        <f>INDEX(Data!AA:AA,MATCH($P344,Data!$AL:$AL,0))</f>
        <v>#N/A</v>
      </c>
      <c r="I344" t="e">
        <f>INDEX(Data!AB:AB,MATCH($P344,Data!$AL:$AL,0))</f>
        <v>#N/A</v>
      </c>
      <c r="J344" t="e">
        <f>INDEX(Data!V:V,MATCH($P344,Data!$AL:$AL,0))</f>
        <v>#N/A</v>
      </c>
      <c r="K344" t="e">
        <f>INDEX(Data!W:W,MATCH($P344,Data!$AL:$AL,0))</f>
        <v>#N/A</v>
      </c>
      <c r="L344" t="e">
        <f>INDEX(Data!X:X,MATCH($P344,Data!$AL:$AL,0))</f>
        <v>#N/A</v>
      </c>
      <c r="M344" t="e">
        <f>INDEX(Data!AD:AD,MATCH($P344,Data!$AL:$AL,0))</f>
        <v>#N/A</v>
      </c>
      <c r="N344" t="e">
        <f>INDEX(Data!AF:AF,MATCH($P344,Data!$AL:$AL,0))</f>
        <v>#N/A</v>
      </c>
      <c r="O344" t="e">
        <f>INDEX(Data!Q:Q,MATCH($P344,Data!$AL:$AL,0))</f>
        <v>#N/A</v>
      </c>
      <c r="Q344" s="3" t="str">
        <f t="shared" si="5"/>
        <v>SPCL</v>
      </c>
    </row>
    <row r="345" spans="1:17" x14ac:dyDescent="0.25">
      <c r="A345" s="4">
        <v>352</v>
      </c>
      <c r="B345" s="217" t="s">
        <v>44</v>
      </c>
      <c r="C345" s="8">
        <f>INDEX(Data!M:M,MATCH(Q345,Data!AM:AM,0))</f>
        <v>0</v>
      </c>
      <c r="D345" s="8">
        <f>INDEX(Data!O:O,MATCH(Q345,Data!AM:AM,0))</f>
        <v>0</v>
      </c>
      <c r="E345" s="1" t="e">
        <f>INDEX(Data!T:T,MATCH($P345,Data!$AL:$AL,0))</f>
        <v>#N/A</v>
      </c>
      <c r="F345" s="1" t="e">
        <f>INDEX(Data!P:P,MATCH($P345,Data!$AL:$AL,0))</f>
        <v>#N/A</v>
      </c>
      <c r="G345" s="1" t="e">
        <f>INDEX(Data!Z:Z,MATCH($P345,Data!$AL:$AL,0))</f>
        <v>#N/A</v>
      </c>
      <c r="H345" s="1" t="e">
        <f>INDEX(Data!AA:AA,MATCH($P345,Data!$AL:$AL,0))</f>
        <v>#N/A</v>
      </c>
      <c r="I345" s="1" t="e">
        <f>INDEX(Data!AB:AB,MATCH($P345,Data!$AL:$AL,0))</f>
        <v>#N/A</v>
      </c>
      <c r="J345" s="1" t="e">
        <f>INDEX(Data!V:V,MATCH($P345,Data!$AL:$AL,0))</f>
        <v>#N/A</v>
      </c>
      <c r="K345" s="1" t="e">
        <f>INDEX(Data!W:W,MATCH($P345,Data!$AL:$AL,0))</f>
        <v>#N/A</v>
      </c>
      <c r="L345" s="1" t="e">
        <f>INDEX(Data!X:X,MATCH($P345,Data!$AL:$AL,0))</f>
        <v>#N/A</v>
      </c>
      <c r="M345" s="1" t="e">
        <f>INDEX(Data!AD:AD,MATCH($P345,Data!$AL:$AL,0))</f>
        <v>#N/A</v>
      </c>
      <c r="N345" s="1" t="e">
        <f>INDEX(Data!AF:AF,MATCH($P345,Data!$AL:$AL,0))</f>
        <v>#N/A</v>
      </c>
      <c r="O345" s="1" t="e">
        <f>INDEX(Data!Q:Q,MATCH($P345,Data!$AL:$AL,0))</f>
        <v>#N/A</v>
      </c>
      <c r="P345" s="1"/>
      <c r="Q345" s="4" t="str">
        <f t="shared" si="5"/>
        <v>SPACL</v>
      </c>
    </row>
    <row r="346" spans="1:17" x14ac:dyDescent="0.25">
      <c r="A346" s="3">
        <v>353</v>
      </c>
      <c r="B346" s="218" t="s">
        <v>40</v>
      </c>
      <c r="C346" s="6">
        <f>INDEX(Data!M:M,MATCH(Q346,Data!AM:AM,0))</f>
        <v>0</v>
      </c>
      <c r="D346" s="6">
        <f>INDEX(Data!O:O,MATCH(Q346,Data!AM:AM,0))</f>
        <v>0</v>
      </c>
      <c r="E346" s="2" t="e">
        <f>INDEX(Data!T:T,MATCH($P346,Data!$AL:$AL,0))</f>
        <v>#N/A</v>
      </c>
      <c r="F346" s="2" t="e">
        <f>INDEX(Data!P:P,MATCH($P346,Data!$AL:$AL,0))</f>
        <v>#N/A</v>
      </c>
      <c r="G346" s="2" t="e">
        <f>INDEX(Data!Z:Z,MATCH($P346,Data!$AL:$AL,0))</f>
        <v>#N/A</v>
      </c>
      <c r="H346" s="2" t="e">
        <f>INDEX(Data!AA:AA,MATCH($P346,Data!$AL:$AL,0))</f>
        <v>#N/A</v>
      </c>
      <c r="I346" s="2" t="e">
        <f>INDEX(Data!AB:AB,MATCH($P346,Data!$AL:$AL,0))</f>
        <v>#N/A</v>
      </c>
      <c r="J346" s="2" t="e">
        <f>INDEX(Data!V:V,MATCH($P346,Data!$AL:$AL,0))</f>
        <v>#N/A</v>
      </c>
      <c r="K346" s="2" t="e">
        <f>INDEX(Data!W:W,MATCH($P346,Data!$AL:$AL,0))</f>
        <v>#N/A</v>
      </c>
      <c r="L346" s="2" t="e">
        <f>INDEX(Data!X:X,MATCH($P346,Data!$AL:$AL,0))</f>
        <v>#N/A</v>
      </c>
      <c r="M346" s="2" t="e">
        <f>INDEX(Data!AD:AD,MATCH($P346,Data!$AL:$AL,0))</f>
        <v>#N/A</v>
      </c>
      <c r="N346" s="2" t="e">
        <f>INDEX(Data!AF:AF,MATCH($P346,Data!$AL:$AL,0))</f>
        <v>#N/A</v>
      </c>
      <c r="O346" s="2" t="e">
        <f>INDEX(Data!Q:Q,MATCH($P346,Data!$AL:$AL,0))</f>
        <v>#N/A</v>
      </c>
      <c r="Q346" s="3" t="str">
        <f t="shared" si="5"/>
        <v>NCL</v>
      </c>
    </row>
    <row r="347" spans="1:17" x14ac:dyDescent="0.25">
      <c r="A347" s="3">
        <v>354</v>
      </c>
      <c r="B347" s="216" t="s">
        <v>41</v>
      </c>
      <c r="C347" s="7">
        <f>INDEX(Data!M:M,MATCH(Q347,Data!AM:AM,0))</f>
        <v>0</v>
      </c>
      <c r="D347" s="7">
        <f>INDEX(Data!O:O,MATCH(Q347,Data!AM:AM,0))</f>
        <v>0</v>
      </c>
      <c r="E347" t="e">
        <f>INDEX(Data!T:T,MATCH($P347,Data!$AL:$AL,0))</f>
        <v>#N/A</v>
      </c>
      <c r="F347" t="e">
        <f>INDEX(Data!P:P,MATCH($P347,Data!$AL:$AL,0))</f>
        <v>#N/A</v>
      </c>
      <c r="G347" t="e">
        <f>INDEX(Data!Z:Z,MATCH($P347,Data!$AL:$AL,0))</f>
        <v>#N/A</v>
      </c>
      <c r="H347" t="e">
        <f>INDEX(Data!AA:AA,MATCH($P347,Data!$AL:$AL,0))</f>
        <v>#N/A</v>
      </c>
      <c r="I347" t="e">
        <f>INDEX(Data!AB:AB,MATCH($P347,Data!$AL:$AL,0))</f>
        <v>#N/A</v>
      </c>
      <c r="J347" t="e">
        <f>INDEX(Data!V:V,MATCH($P347,Data!$AL:$AL,0))</f>
        <v>#N/A</v>
      </c>
      <c r="K347" t="e">
        <f>INDEX(Data!W:W,MATCH($P347,Data!$AL:$AL,0))</f>
        <v>#N/A</v>
      </c>
      <c r="L347" t="e">
        <f>INDEX(Data!X:X,MATCH($P347,Data!$AL:$AL,0))</f>
        <v>#N/A</v>
      </c>
      <c r="M347" t="e">
        <f>INDEX(Data!AD:AD,MATCH($P347,Data!$AL:$AL,0))</f>
        <v>#N/A</v>
      </c>
      <c r="N347" t="e">
        <f>INDEX(Data!AF:AF,MATCH($P347,Data!$AL:$AL,0))</f>
        <v>#N/A</v>
      </c>
      <c r="O347" t="e">
        <f>INDEX(Data!Q:Q,MATCH($P347,Data!$AL:$AL,0))</f>
        <v>#N/A</v>
      </c>
      <c r="Q347" s="3" t="str">
        <f t="shared" si="5"/>
        <v>CL</v>
      </c>
    </row>
    <row r="348" spans="1:17" x14ac:dyDescent="0.25">
      <c r="A348" s="3">
        <v>355</v>
      </c>
      <c r="B348" s="216" t="s">
        <v>42</v>
      </c>
      <c r="C348" s="7">
        <f>INDEX(Data!M:M,MATCH(Q348,Data!AM:AM,0))</f>
        <v>0</v>
      </c>
      <c r="D348" s="7">
        <f>INDEX(Data!O:O,MATCH(Q348,Data!AM:AM,0))</f>
        <v>0</v>
      </c>
      <c r="E348" t="e">
        <f>INDEX(Data!T:T,MATCH($P348,Data!$AL:$AL,0))</f>
        <v>#N/A</v>
      </c>
      <c r="F348" t="e">
        <f>INDEX(Data!P:P,MATCH($P348,Data!$AL:$AL,0))</f>
        <v>#N/A</v>
      </c>
      <c r="G348" t="e">
        <f>INDEX(Data!Z:Z,MATCH($P348,Data!$AL:$AL,0))</f>
        <v>#N/A</v>
      </c>
      <c r="H348" t="e">
        <f>INDEX(Data!AA:AA,MATCH($P348,Data!$AL:$AL,0))</f>
        <v>#N/A</v>
      </c>
      <c r="I348" t="e">
        <f>INDEX(Data!AB:AB,MATCH($P348,Data!$AL:$AL,0))</f>
        <v>#N/A</v>
      </c>
      <c r="J348" t="e">
        <f>INDEX(Data!V:V,MATCH($P348,Data!$AL:$AL,0))</f>
        <v>#N/A</v>
      </c>
      <c r="K348" t="e">
        <f>INDEX(Data!W:W,MATCH($P348,Data!$AL:$AL,0))</f>
        <v>#N/A</v>
      </c>
      <c r="L348" t="e">
        <f>INDEX(Data!X:X,MATCH($P348,Data!$AL:$AL,0))</f>
        <v>#N/A</v>
      </c>
      <c r="M348" t="e">
        <f>INDEX(Data!AD:AD,MATCH($P348,Data!$AL:$AL,0))</f>
        <v>#N/A</v>
      </c>
      <c r="N348" t="e">
        <f>INDEX(Data!AF:AF,MATCH($P348,Data!$AL:$AL,0))</f>
        <v>#N/A</v>
      </c>
      <c r="O348" t="e">
        <f>INDEX(Data!Q:Q,MATCH($P348,Data!$AL:$AL,0))</f>
        <v>#N/A</v>
      </c>
      <c r="Q348" s="3" t="str">
        <f t="shared" si="5"/>
        <v>ACL</v>
      </c>
    </row>
    <row r="349" spans="1:17" x14ac:dyDescent="0.25">
      <c r="A349" s="3">
        <v>356</v>
      </c>
      <c r="B349" s="216" t="s">
        <v>43</v>
      </c>
      <c r="C349" s="7">
        <f>INDEX(Data!M:M,MATCH(Q349,Data!AM:AM,0))</f>
        <v>0</v>
      </c>
      <c r="D349" s="7">
        <f>INDEX(Data!O:O,MATCH(Q349,Data!AM:AM,0))</f>
        <v>0</v>
      </c>
      <c r="E349" t="e">
        <f>INDEX(Data!T:T,MATCH($P349,Data!$AL:$AL,0))</f>
        <v>#N/A</v>
      </c>
      <c r="F349" t="e">
        <f>INDEX(Data!P:P,MATCH($P349,Data!$AL:$AL,0))</f>
        <v>#N/A</v>
      </c>
      <c r="G349" t="e">
        <f>INDEX(Data!Z:Z,MATCH($P349,Data!$AL:$AL,0))</f>
        <v>#N/A</v>
      </c>
      <c r="H349" t="e">
        <f>INDEX(Data!AA:AA,MATCH($P349,Data!$AL:$AL,0))</f>
        <v>#N/A</v>
      </c>
      <c r="I349" t="e">
        <f>INDEX(Data!AB:AB,MATCH($P349,Data!$AL:$AL,0))</f>
        <v>#N/A</v>
      </c>
      <c r="J349" t="e">
        <f>INDEX(Data!V:V,MATCH($P349,Data!$AL:$AL,0))</f>
        <v>#N/A</v>
      </c>
      <c r="K349" t="e">
        <f>INDEX(Data!W:W,MATCH($P349,Data!$AL:$AL,0))</f>
        <v>#N/A</v>
      </c>
      <c r="L349" t="e">
        <f>INDEX(Data!X:X,MATCH($P349,Data!$AL:$AL,0))</f>
        <v>#N/A</v>
      </c>
      <c r="M349" t="e">
        <f>INDEX(Data!AD:AD,MATCH($P349,Data!$AL:$AL,0))</f>
        <v>#N/A</v>
      </c>
      <c r="N349" t="e">
        <f>INDEX(Data!AF:AF,MATCH($P349,Data!$AL:$AL,0))</f>
        <v>#N/A</v>
      </c>
      <c r="O349" t="e">
        <f>INDEX(Data!Q:Q,MATCH($P349,Data!$AL:$AL,0))</f>
        <v>#N/A</v>
      </c>
      <c r="Q349" s="3" t="str">
        <f t="shared" si="5"/>
        <v>SPCL</v>
      </c>
    </row>
    <row r="350" spans="1:17" x14ac:dyDescent="0.25">
      <c r="A350" s="4">
        <v>357</v>
      </c>
      <c r="B350" s="217" t="s">
        <v>44</v>
      </c>
      <c r="C350" s="8">
        <f>INDEX(Data!M:M,MATCH(Q350,Data!AM:AM,0))</f>
        <v>0</v>
      </c>
      <c r="D350" s="8">
        <f>INDEX(Data!O:O,MATCH(Q350,Data!AM:AM,0))</f>
        <v>0</v>
      </c>
      <c r="E350" s="1" t="e">
        <f>INDEX(Data!T:T,MATCH($P350,Data!$AL:$AL,0))</f>
        <v>#N/A</v>
      </c>
      <c r="F350" s="1" t="e">
        <f>INDEX(Data!P:P,MATCH($P350,Data!$AL:$AL,0))</f>
        <v>#N/A</v>
      </c>
      <c r="G350" s="1" t="e">
        <f>INDEX(Data!Z:Z,MATCH($P350,Data!$AL:$AL,0))</f>
        <v>#N/A</v>
      </c>
      <c r="H350" s="1" t="e">
        <f>INDEX(Data!AA:AA,MATCH($P350,Data!$AL:$AL,0))</f>
        <v>#N/A</v>
      </c>
      <c r="I350" s="1" t="e">
        <f>INDEX(Data!AB:AB,MATCH($P350,Data!$AL:$AL,0))</f>
        <v>#N/A</v>
      </c>
      <c r="J350" s="1" t="e">
        <f>INDEX(Data!V:V,MATCH($P350,Data!$AL:$AL,0))</f>
        <v>#N/A</v>
      </c>
      <c r="K350" s="1" t="e">
        <f>INDEX(Data!W:W,MATCH($P350,Data!$AL:$AL,0))</f>
        <v>#N/A</v>
      </c>
      <c r="L350" s="1" t="e">
        <f>INDEX(Data!X:X,MATCH($P350,Data!$AL:$AL,0))</f>
        <v>#N/A</v>
      </c>
      <c r="M350" s="1" t="e">
        <f>INDEX(Data!AD:AD,MATCH($P350,Data!$AL:$AL,0))</f>
        <v>#N/A</v>
      </c>
      <c r="N350" s="1" t="e">
        <f>INDEX(Data!AF:AF,MATCH($P350,Data!$AL:$AL,0))</f>
        <v>#N/A</v>
      </c>
      <c r="O350" s="1" t="e">
        <f>INDEX(Data!Q:Q,MATCH($P350,Data!$AL:$AL,0))</f>
        <v>#N/A</v>
      </c>
      <c r="P350" s="1"/>
      <c r="Q350" s="4" t="str">
        <f t="shared" si="5"/>
        <v>SPACL</v>
      </c>
    </row>
    <row r="351" spans="1:17" x14ac:dyDescent="0.25">
      <c r="A351" s="3">
        <v>358</v>
      </c>
      <c r="B351" s="218" t="s">
        <v>40</v>
      </c>
      <c r="C351" s="6">
        <f>INDEX(Data!M:M,MATCH(Q351,Data!AM:AM,0))</f>
        <v>0</v>
      </c>
      <c r="D351" s="6">
        <f>INDEX(Data!O:O,MATCH(Q351,Data!AM:AM,0))</f>
        <v>0</v>
      </c>
      <c r="E351" s="2" t="e">
        <f>INDEX(Data!T:T,MATCH($P351,Data!$AL:$AL,0))</f>
        <v>#N/A</v>
      </c>
      <c r="F351" s="2" t="e">
        <f>INDEX(Data!P:P,MATCH($P351,Data!$AL:$AL,0))</f>
        <v>#N/A</v>
      </c>
      <c r="G351" s="2" t="e">
        <f>INDEX(Data!Z:Z,MATCH($P351,Data!$AL:$AL,0))</f>
        <v>#N/A</v>
      </c>
      <c r="H351" s="2" t="e">
        <f>INDEX(Data!AA:AA,MATCH($P351,Data!$AL:$AL,0))</f>
        <v>#N/A</v>
      </c>
      <c r="I351" s="2" t="e">
        <f>INDEX(Data!AB:AB,MATCH($P351,Data!$AL:$AL,0))</f>
        <v>#N/A</v>
      </c>
      <c r="J351" s="2" t="e">
        <f>INDEX(Data!V:V,MATCH($P351,Data!$AL:$AL,0))</f>
        <v>#N/A</v>
      </c>
      <c r="K351" s="2" t="e">
        <f>INDEX(Data!W:W,MATCH($P351,Data!$AL:$AL,0))</f>
        <v>#N/A</v>
      </c>
      <c r="L351" s="2" t="e">
        <f>INDEX(Data!X:X,MATCH($P351,Data!$AL:$AL,0))</f>
        <v>#N/A</v>
      </c>
      <c r="M351" s="2" t="e">
        <f>INDEX(Data!AD:AD,MATCH($P351,Data!$AL:$AL,0))</f>
        <v>#N/A</v>
      </c>
      <c r="N351" s="2" t="e">
        <f>INDEX(Data!AF:AF,MATCH($P351,Data!$AL:$AL,0))</f>
        <v>#N/A</v>
      </c>
      <c r="O351" s="2" t="e">
        <f>INDEX(Data!Q:Q,MATCH($P351,Data!$AL:$AL,0))</f>
        <v>#N/A</v>
      </c>
      <c r="Q351" s="3" t="str">
        <f t="shared" si="5"/>
        <v>NCL</v>
      </c>
    </row>
    <row r="352" spans="1:17" x14ac:dyDescent="0.25">
      <c r="A352" s="3">
        <v>359</v>
      </c>
      <c r="B352" s="216" t="s">
        <v>41</v>
      </c>
      <c r="C352" s="7">
        <f>INDEX(Data!M:M,MATCH(Q352,Data!AM:AM,0))</f>
        <v>0</v>
      </c>
      <c r="D352" s="7">
        <f>INDEX(Data!O:O,MATCH(Q352,Data!AM:AM,0))</f>
        <v>0</v>
      </c>
      <c r="E352" t="e">
        <f>INDEX(Data!T:T,MATCH($P352,Data!$AL:$AL,0))</f>
        <v>#N/A</v>
      </c>
      <c r="F352" t="e">
        <f>INDEX(Data!P:P,MATCH($P352,Data!$AL:$AL,0))</f>
        <v>#N/A</v>
      </c>
      <c r="G352" t="e">
        <f>INDEX(Data!Z:Z,MATCH($P352,Data!$AL:$AL,0))</f>
        <v>#N/A</v>
      </c>
      <c r="H352" t="e">
        <f>INDEX(Data!AA:AA,MATCH($P352,Data!$AL:$AL,0))</f>
        <v>#N/A</v>
      </c>
      <c r="I352" t="e">
        <f>INDEX(Data!AB:AB,MATCH($P352,Data!$AL:$AL,0))</f>
        <v>#N/A</v>
      </c>
      <c r="J352" t="e">
        <f>INDEX(Data!V:V,MATCH($P352,Data!$AL:$AL,0))</f>
        <v>#N/A</v>
      </c>
      <c r="K352" t="e">
        <f>INDEX(Data!W:W,MATCH($P352,Data!$AL:$AL,0))</f>
        <v>#N/A</v>
      </c>
      <c r="L352" t="e">
        <f>INDEX(Data!X:X,MATCH($P352,Data!$AL:$AL,0))</f>
        <v>#N/A</v>
      </c>
      <c r="M352" t="e">
        <f>INDEX(Data!AD:AD,MATCH($P352,Data!$AL:$AL,0))</f>
        <v>#N/A</v>
      </c>
      <c r="N352" t="e">
        <f>INDEX(Data!AF:AF,MATCH($P352,Data!$AL:$AL,0))</f>
        <v>#N/A</v>
      </c>
      <c r="O352" t="e">
        <f>INDEX(Data!Q:Q,MATCH($P352,Data!$AL:$AL,0))</f>
        <v>#N/A</v>
      </c>
      <c r="Q352" s="3" t="str">
        <f t="shared" si="5"/>
        <v>CL</v>
      </c>
    </row>
    <row r="353" spans="1:17" x14ac:dyDescent="0.25">
      <c r="A353" s="3">
        <v>360</v>
      </c>
      <c r="B353" s="216" t="s">
        <v>42</v>
      </c>
      <c r="C353" s="7">
        <f>INDEX(Data!M:M,MATCH(Q353,Data!AM:AM,0))</f>
        <v>0</v>
      </c>
      <c r="D353" s="7">
        <f>INDEX(Data!O:O,MATCH(Q353,Data!AM:AM,0))</f>
        <v>0</v>
      </c>
      <c r="E353" t="e">
        <f>INDEX(Data!T:T,MATCH($P353,Data!$AL:$AL,0))</f>
        <v>#N/A</v>
      </c>
      <c r="F353" t="e">
        <f>INDEX(Data!P:P,MATCH($P353,Data!$AL:$AL,0))</f>
        <v>#N/A</v>
      </c>
      <c r="G353" t="e">
        <f>INDEX(Data!Z:Z,MATCH($P353,Data!$AL:$AL,0))</f>
        <v>#N/A</v>
      </c>
      <c r="H353" t="e">
        <f>INDEX(Data!AA:AA,MATCH($P353,Data!$AL:$AL,0))</f>
        <v>#N/A</v>
      </c>
      <c r="I353" t="e">
        <f>INDEX(Data!AB:AB,MATCH($P353,Data!$AL:$AL,0))</f>
        <v>#N/A</v>
      </c>
      <c r="J353" t="e">
        <f>INDEX(Data!V:V,MATCH($P353,Data!$AL:$AL,0))</f>
        <v>#N/A</v>
      </c>
      <c r="K353" t="e">
        <f>INDEX(Data!W:W,MATCH($P353,Data!$AL:$AL,0))</f>
        <v>#N/A</v>
      </c>
      <c r="L353" t="e">
        <f>INDEX(Data!X:X,MATCH($P353,Data!$AL:$AL,0))</f>
        <v>#N/A</v>
      </c>
      <c r="M353" t="e">
        <f>INDEX(Data!AD:AD,MATCH($P353,Data!$AL:$AL,0))</f>
        <v>#N/A</v>
      </c>
      <c r="N353" t="e">
        <f>INDEX(Data!AF:AF,MATCH($P353,Data!$AL:$AL,0))</f>
        <v>#N/A</v>
      </c>
      <c r="O353" t="e">
        <f>INDEX(Data!Q:Q,MATCH($P353,Data!$AL:$AL,0))</f>
        <v>#N/A</v>
      </c>
      <c r="Q353" s="3" t="str">
        <f t="shared" si="5"/>
        <v>ACL</v>
      </c>
    </row>
    <row r="354" spans="1:17" x14ac:dyDescent="0.25">
      <c r="A354" s="3">
        <v>361</v>
      </c>
      <c r="B354" s="216" t="s">
        <v>43</v>
      </c>
      <c r="C354" s="7">
        <f>INDEX(Data!M:M,MATCH(Q354,Data!AM:AM,0))</f>
        <v>0</v>
      </c>
      <c r="D354" s="7">
        <f>INDEX(Data!O:O,MATCH(Q354,Data!AM:AM,0))</f>
        <v>0</v>
      </c>
      <c r="E354" t="e">
        <f>INDEX(Data!T:T,MATCH($P354,Data!$AL:$AL,0))</f>
        <v>#N/A</v>
      </c>
      <c r="F354" t="e">
        <f>INDEX(Data!P:P,MATCH($P354,Data!$AL:$AL,0))</f>
        <v>#N/A</v>
      </c>
      <c r="G354" t="e">
        <f>INDEX(Data!Z:Z,MATCH($P354,Data!$AL:$AL,0))</f>
        <v>#N/A</v>
      </c>
      <c r="H354" t="e">
        <f>INDEX(Data!AA:AA,MATCH($P354,Data!$AL:$AL,0))</f>
        <v>#N/A</v>
      </c>
      <c r="I354" t="e">
        <f>INDEX(Data!AB:AB,MATCH($P354,Data!$AL:$AL,0))</f>
        <v>#N/A</v>
      </c>
      <c r="J354" t="e">
        <f>INDEX(Data!V:V,MATCH($P354,Data!$AL:$AL,0))</f>
        <v>#N/A</v>
      </c>
      <c r="K354" t="e">
        <f>INDEX(Data!W:W,MATCH($P354,Data!$AL:$AL,0))</f>
        <v>#N/A</v>
      </c>
      <c r="L354" t="e">
        <f>INDEX(Data!X:X,MATCH($P354,Data!$AL:$AL,0))</f>
        <v>#N/A</v>
      </c>
      <c r="M354" t="e">
        <f>INDEX(Data!AD:AD,MATCH($P354,Data!$AL:$AL,0))</f>
        <v>#N/A</v>
      </c>
      <c r="N354" t="e">
        <f>INDEX(Data!AF:AF,MATCH($P354,Data!$AL:$AL,0))</f>
        <v>#N/A</v>
      </c>
      <c r="O354" t="e">
        <f>INDEX(Data!Q:Q,MATCH($P354,Data!$AL:$AL,0))</f>
        <v>#N/A</v>
      </c>
      <c r="Q354" s="3" t="str">
        <f t="shared" si="5"/>
        <v>SPCL</v>
      </c>
    </row>
    <row r="355" spans="1:17" x14ac:dyDescent="0.25">
      <c r="A355" s="4">
        <v>362</v>
      </c>
      <c r="B355" s="217" t="s">
        <v>44</v>
      </c>
      <c r="C355" s="8">
        <f>INDEX(Data!M:M,MATCH(Q355,Data!AM:AM,0))</f>
        <v>0</v>
      </c>
      <c r="D355" s="8">
        <f>INDEX(Data!O:O,MATCH(Q355,Data!AM:AM,0))</f>
        <v>0</v>
      </c>
      <c r="E355" s="1" t="e">
        <f>INDEX(Data!T:T,MATCH($P355,Data!$AL:$AL,0))</f>
        <v>#N/A</v>
      </c>
      <c r="F355" s="1" t="e">
        <f>INDEX(Data!P:P,MATCH($P355,Data!$AL:$AL,0))</f>
        <v>#N/A</v>
      </c>
      <c r="G355" s="1" t="e">
        <f>INDEX(Data!Z:Z,MATCH($P355,Data!$AL:$AL,0))</f>
        <v>#N/A</v>
      </c>
      <c r="H355" s="1" t="e">
        <f>INDEX(Data!AA:AA,MATCH($P355,Data!$AL:$AL,0))</f>
        <v>#N/A</v>
      </c>
      <c r="I355" s="1" t="e">
        <f>INDEX(Data!AB:AB,MATCH($P355,Data!$AL:$AL,0))</f>
        <v>#N/A</v>
      </c>
      <c r="J355" s="1" t="e">
        <f>INDEX(Data!V:V,MATCH($P355,Data!$AL:$AL,0))</f>
        <v>#N/A</v>
      </c>
      <c r="K355" s="1" t="e">
        <f>INDEX(Data!W:W,MATCH($P355,Data!$AL:$AL,0))</f>
        <v>#N/A</v>
      </c>
      <c r="L355" s="1" t="e">
        <f>INDEX(Data!X:X,MATCH($P355,Data!$AL:$AL,0))</f>
        <v>#N/A</v>
      </c>
      <c r="M355" s="1" t="e">
        <f>INDEX(Data!AD:AD,MATCH($P355,Data!$AL:$AL,0))</f>
        <v>#N/A</v>
      </c>
      <c r="N355" s="1" t="e">
        <f>INDEX(Data!AF:AF,MATCH($P355,Data!$AL:$AL,0))</f>
        <v>#N/A</v>
      </c>
      <c r="O355" s="1" t="e">
        <f>INDEX(Data!Q:Q,MATCH($P355,Data!$AL:$AL,0))</f>
        <v>#N/A</v>
      </c>
      <c r="P355" s="1"/>
      <c r="Q355" s="4" t="str">
        <f t="shared" si="5"/>
        <v>SPACL</v>
      </c>
    </row>
    <row r="356" spans="1:17" x14ac:dyDescent="0.25">
      <c r="A356" s="3">
        <v>363</v>
      </c>
      <c r="B356" s="218" t="s">
        <v>40</v>
      </c>
      <c r="C356" s="6">
        <f>INDEX(Data!M:M,MATCH(Q356,Data!AM:AM,0))</f>
        <v>0</v>
      </c>
      <c r="D356" s="6">
        <f>INDEX(Data!O:O,MATCH(Q356,Data!AM:AM,0))</f>
        <v>0</v>
      </c>
      <c r="E356" s="2" t="e">
        <f>INDEX(Data!T:T,MATCH($P356,Data!$AL:$AL,0))</f>
        <v>#N/A</v>
      </c>
      <c r="F356" s="2" t="e">
        <f>INDEX(Data!P:P,MATCH($P356,Data!$AL:$AL,0))</f>
        <v>#N/A</v>
      </c>
      <c r="G356" s="2" t="e">
        <f>INDEX(Data!Z:Z,MATCH($P356,Data!$AL:$AL,0))</f>
        <v>#N/A</v>
      </c>
      <c r="H356" s="2" t="e">
        <f>INDEX(Data!AA:AA,MATCH($P356,Data!$AL:$AL,0))</f>
        <v>#N/A</v>
      </c>
      <c r="I356" s="2" t="e">
        <f>INDEX(Data!AB:AB,MATCH($P356,Data!$AL:$AL,0))</f>
        <v>#N/A</v>
      </c>
      <c r="J356" s="2" t="e">
        <f>INDEX(Data!V:V,MATCH($P356,Data!$AL:$AL,0))</f>
        <v>#N/A</v>
      </c>
      <c r="K356" s="2" t="e">
        <f>INDEX(Data!W:W,MATCH($P356,Data!$AL:$AL,0))</f>
        <v>#N/A</v>
      </c>
      <c r="L356" s="2" t="e">
        <f>INDEX(Data!X:X,MATCH($P356,Data!$AL:$AL,0))</f>
        <v>#N/A</v>
      </c>
      <c r="M356" s="2" t="e">
        <f>INDEX(Data!AD:AD,MATCH($P356,Data!$AL:$AL,0))</f>
        <v>#N/A</v>
      </c>
      <c r="N356" s="2" t="e">
        <f>INDEX(Data!AF:AF,MATCH($P356,Data!$AL:$AL,0))</f>
        <v>#N/A</v>
      </c>
      <c r="O356" s="2" t="e">
        <f>INDEX(Data!Q:Q,MATCH($P356,Data!$AL:$AL,0))</f>
        <v>#N/A</v>
      </c>
      <c r="Q356" s="3" t="str">
        <f t="shared" si="5"/>
        <v>NCL</v>
      </c>
    </row>
    <row r="357" spans="1:17" x14ac:dyDescent="0.25">
      <c r="A357" s="3">
        <v>364</v>
      </c>
      <c r="B357" s="216" t="s">
        <v>41</v>
      </c>
      <c r="C357" s="7">
        <f>INDEX(Data!M:M,MATCH(Q357,Data!AM:AM,0))</f>
        <v>0</v>
      </c>
      <c r="D357" s="7">
        <f>INDEX(Data!O:O,MATCH(Q357,Data!AM:AM,0))</f>
        <v>0</v>
      </c>
      <c r="E357" t="e">
        <f>INDEX(Data!T:T,MATCH($P357,Data!$AL:$AL,0))</f>
        <v>#N/A</v>
      </c>
      <c r="F357" t="e">
        <f>INDEX(Data!P:P,MATCH($P357,Data!$AL:$AL,0))</f>
        <v>#N/A</v>
      </c>
      <c r="G357" t="e">
        <f>INDEX(Data!Z:Z,MATCH($P357,Data!$AL:$AL,0))</f>
        <v>#N/A</v>
      </c>
      <c r="H357" t="e">
        <f>INDEX(Data!AA:AA,MATCH($P357,Data!$AL:$AL,0))</f>
        <v>#N/A</v>
      </c>
      <c r="I357" t="e">
        <f>INDEX(Data!AB:AB,MATCH($P357,Data!$AL:$AL,0))</f>
        <v>#N/A</v>
      </c>
      <c r="J357" t="e">
        <f>INDEX(Data!V:V,MATCH($P357,Data!$AL:$AL,0))</f>
        <v>#N/A</v>
      </c>
      <c r="K357" t="e">
        <f>INDEX(Data!W:W,MATCH($P357,Data!$AL:$AL,0))</f>
        <v>#N/A</v>
      </c>
      <c r="L357" t="e">
        <f>INDEX(Data!X:X,MATCH($P357,Data!$AL:$AL,0))</f>
        <v>#N/A</v>
      </c>
      <c r="M357" t="e">
        <f>INDEX(Data!AD:AD,MATCH($P357,Data!$AL:$AL,0))</f>
        <v>#N/A</v>
      </c>
      <c r="N357" t="e">
        <f>INDEX(Data!AF:AF,MATCH($P357,Data!$AL:$AL,0))</f>
        <v>#N/A</v>
      </c>
      <c r="O357" t="e">
        <f>INDEX(Data!Q:Q,MATCH($P357,Data!$AL:$AL,0))</f>
        <v>#N/A</v>
      </c>
      <c r="Q357" s="3" t="str">
        <f t="shared" si="5"/>
        <v>CL</v>
      </c>
    </row>
    <row r="358" spans="1:17" x14ac:dyDescent="0.25">
      <c r="A358" s="3">
        <v>365</v>
      </c>
      <c r="B358" s="216" t="s">
        <v>42</v>
      </c>
      <c r="C358" s="7">
        <f>INDEX(Data!M:M,MATCH(Q358,Data!AM:AM,0))</f>
        <v>0</v>
      </c>
      <c r="D358" s="7">
        <f>INDEX(Data!O:O,MATCH(Q358,Data!AM:AM,0))</f>
        <v>0</v>
      </c>
      <c r="E358" t="e">
        <f>INDEX(Data!T:T,MATCH($P358,Data!$AL:$AL,0))</f>
        <v>#N/A</v>
      </c>
      <c r="F358" t="e">
        <f>INDEX(Data!P:P,MATCH($P358,Data!$AL:$AL,0))</f>
        <v>#N/A</v>
      </c>
      <c r="G358" t="e">
        <f>INDEX(Data!Z:Z,MATCH($P358,Data!$AL:$AL,0))</f>
        <v>#N/A</v>
      </c>
      <c r="H358" t="e">
        <f>INDEX(Data!AA:AA,MATCH($P358,Data!$AL:$AL,0))</f>
        <v>#N/A</v>
      </c>
      <c r="I358" t="e">
        <f>INDEX(Data!AB:AB,MATCH($P358,Data!$AL:$AL,0))</f>
        <v>#N/A</v>
      </c>
      <c r="J358" t="e">
        <f>INDEX(Data!V:V,MATCH($P358,Data!$AL:$AL,0))</f>
        <v>#N/A</v>
      </c>
      <c r="K358" t="e">
        <f>INDEX(Data!W:W,MATCH($P358,Data!$AL:$AL,0))</f>
        <v>#N/A</v>
      </c>
      <c r="L358" t="e">
        <f>INDEX(Data!X:X,MATCH($P358,Data!$AL:$AL,0))</f>
        <v>#N/A</v>
      </c>
      <c r="M358" t="e">
        <f>INDEX(Data!AD:AD,MATCH($P358,Data!$AL:$AL,0))</f>
        <v>#N/A</v>
      </c>
      <c r="N358" t="e">
        <f>INDEX(Data!AF:AF,MATCH($P358,Data!$AL:$AL,0))</f>
        <v>#N/A</v>
      </c>
      <c r="O358" t="e">
        <f>INDEX(Data!Q:Q,MATCH($P358,Data!$AL:$AL,0))</f>
        <v>#N/A</v>
      </c>
      <c r="Q358" s="3" t="str">
        <f t="shared" si="5"/>
        <v>ACL</v>
      </c>
    </row>
    <row r="359" spans="1:17" x14ac:dyDescent="0.25">
      <c r="A359" s="3">
        <v>366</v>
      </c>
      <c r="B359" s="216" t="s">
        <v>43</v>
      </c>
      <c r="C359" s="7">
        <f>INDEX(Data!M:M,MATCH(Q359,Data!AM:AM,0))</f>
        <v>0</v>
      </c>
      <c r="D359" s="7">
        <f>INDEX(Data!O:O,MATCH(Q359,Data!AM:AM,0))</f>
        <v>0</v>
      </c>
      <c r="E359" t="e">
        <f>INDEX(Data!T:T,MATCH($P359,Data!$AL:$AL,0))</f>
        <v>#N/A</v>
      </c>
      <c r="F359" t="e">
        <f>INDEX(Data!P:P,MATCH($P359,Data!$AL:$AL,0))</f>
        <v>#N/A</v>
      </c>
      <c r="G359" t="e">
        <f>INDEX(Data!Z:Z,MATCH($P359,Data!$AL:$AL,0))</f>
        <v>#N/A</v>
      </c>
      <c r="H359" t="e">
        <f>INDEX(Data!AA:AA,MATCH($P359,Data!$AL:$AL,0))</f>
        <v>#N/A</v>
      </c>
      <c r="I359" t="e">
        <f>INDEX(Data!AB:AB,MATCH($P359,Data!$AL:$AL,0))</f>
        <v>#N/A</v>
      </c>
      <c r="J359" t="e">
        <f>INDEX(Data!V:V,MATCH($P359,Data!$AL:$AL,0))</f>
        <v>#N/A</v>
      </c>
      <c r="K359" t="e">
        <f>INDEX(Data!W:W,MATCH($P359,Data!$AL:$AL,0))</f>
        <v>#N/A</v>
      </c>
      <c r="L359" t="e">
        <f>INDEX(Data!X:X,MATCH($P359,Data!$AL:$AL,0))</f>
        <v>#N/A</v>
      </c>
      <c r="M359" t="e">
        <f>INDEX(Data!AD:AD,MATCH($P359,Data!$AL:$AL,0))</f>
        <v>#N/A</v>
      </c>
      <c r="N359" t="e">
        <f>INDEX(Data!AF:AF,MATCH($P359,Data!$AL:$AL,0))</f>
        <v>#N/A</v>
      </c>
      <c r="O359" t="e">
        <f>INDEX(Data!Q:Q,MATCH($P359,Data!$AL:$AL,0))</f>
        <v>#N/A</v>
      </c>
      <c r="Q359" s="3" t="str">
        <f t="shared" si="5"/>
        <v>SPCL</v>
      </c>
    </row>
    <row r="360" spans="1:17" x14ac:dyDescent="0.25">
      <c r="A360" s="4">
        <v>367</v>
      </c>
      <c r="B360" s="217" t="s">
        <v>44</v>
      </c>
      <c r="C360" s="8">
        <f>INDEX(Data!M:M,MATCH(Q360,Data!AM:AM,0))</f>
        <v>0</v>
      </c>
      <c r="D360" s="8">
        <f>INDEX(Data!O:O,MATCH(Q360,Data!AM:AM,0))</f>
        <v>0</v>
      </c>
      <c r="E360" s="1" t="e">
        <f>INDEX(Data!T:T,MATCH($P360,Data!$AL:$AL,0))</f>
        <v>#N/A</v>
      </c>
      <c r="F360" s="1" t="e">
        <f>INDEX(Data!P:P,MATCH($P360,Data!$AL:$AL,0))</f>
        <v>#N/A</v>
      </c>
      <c r="G360" s="1" t="e">
        <f>INDEX(Data!Z:Z,MATCH($P360,Data!$AL:$AL,0))</f>
        <v>#N/A</v>
      </c>
      <c r="H360" s="1" t="e">
        <f>INDEX(Data!AA:AA,MATCH($P360,Data!$AL:$AL,0))</f>
        <v>#N/A</v>
      </c>
      <c r="I360" s="1" t="e">
        <f>INDEX(Data!AB:AB,MATCH($P360,Data!$AL:$AL,0))</f>
        <v>#N/A</v>
      </c>
      <c r="J360" s="1" t="e">
        <f>INDEX(Data!V:V,MATCH($P360,Data!$AL:$AL,0))</f>
        <v>#N/A</v>
      </c>
      <c r="K360" s="1" t="e">
        <f>INDEX(Data!W:W,MATCH($P360,Data!$AL:$AL,0))</f>
        <v>#N/A</v>
      </c>
      <c r="L360" s="1" t="e">
        <f>INDEX(Data!X:X,MATCH($P360,Data!$AL:$AL,0))</f>
        <v>#N/A</v>
      </c>
      <c r="M360" s="1" t="e">
        <f>INDEX(Data!AD:AD,MATCH($P360,Data!$AL:$AL,0))</f>
        <v>#N/A</v>
      </c>
      <c r="N360" s="1" t="e">
        <f>INDEX(Data!AF:AF,MATCH($P360,Data!$AL:$AL,0))</f>
        <v>#N/A</v>
      </c>
      <c r="O360" s="1" t="e">
        <f>INDEX(Data!Q:Q,MATCH($P360,Data!$AL:$AL,0))</f>
        <v>#N/A</v>
      </c>
      <c r="P360" s="1"/>
      <c r="Q360" s="4" t="str">
        <f t="shared" si="5"/>
        <v>SPACL</v>
      </c>
    </row>
    <row r="361" spans="1:17" x14ac:dyDescent="0.25">
      <c r="A361" s="3">
        <v>368</v>
      </c>
      <c r="B361" s="218" t="s">
        <v>40</v>
      </c>
      <c r="C361" s="6">
        <f>INDEX(Data!M:M,MATCH(Q361,Data!AM:AM,0))</f>
        <v>0</v>
      </c>
      <c r="D361" s="6">
        <f>INDEX(Data!O:O,MATCH(Q361,Data!AM:AM,0))</f>
        <v>0</v>
      </c>
      <c r="E361" s="2" t="e">
        <f>INDEX(Data!T:T,MATCH($P361,Data!$AL:$AL,0))</f>
        <v>#N/A</v>
      </c>
      <c r="F361" s="2" t="e">
        <f>INDEX(Data!P:P,MATCH($P361,Data!$AL:$AL,0))</f>
        <v>#N/A</v>
      </c>
      <c r="G361" s="2" t="e">
        <f>INDEX(Data!Z:Z,MATCH($P361,Data!$AL:$AL,0))</f>
        <v>#N/A</v>
      </c>
      <c r="H361" s="2" t="e">
        <f>INDEX(Data!AA:AA,MATCH($P361,Data!$AL:$AL,0))</f>
        <v>#N/A</v>
      </c>
      <c r="I361" s="2" t="e">
        <f>INDEX(Data!AB:AB,MATCH($P361,Data!$AL:$AL,0))</f>
        <v>#N/A</v>
      </c>
      <c r="J361" s="2" t="e">
        <f>INDEX(Data!V:V,MATCH($P361,Data!$AL:$AL,0))</f>
        <v>#N/A</v>
      </c>
      <c r="K361" s="2" t="e">
        <f>INDEX(Data!W:W,MATCH($P361,Data!$AL:$AL,0))</f>
        <v>#N/A</v>
      </c>
      <c r="L361" s="2" t="e">
        <f>INDEX(Data!X:X,MATCH($P361,Data!$AL:$AL,0))</f>
        <v>#N/A</v>
      </c>
      <c r="M361" s="2" t="e">
        <f>INDEX(Data!AD:AD,MATCH($P361,Data!$AL:$AL,0))</f>
        <v>#N/A</v>
      </c>
      <c r="N361" s="2" t="e">
        <f>INDEX(Data!AF:AF,MATCH($P361,Data!$AL:$AL,0))</f>
        <v>#N/A</v>
      </c>
      <c r="O361" s="2" t="e">
        <f>INDEX(Data!Q:Q,MATCH($P361,Data!$AL:$AL,0))</f>
        <v>#N/A</v>
      </c>
      <c r="Q361" s="3" t="str">
        <f t="shared" si="5"/>
        <v>NCL</v>
      </c>
    </row>
    <row r="362" spans="1:17" x14ac:dyDescent="0.25">
      <c r="A362" s="3">
        <v>369</v>
      </c>
      <c r="B362" s="216" t="s">
        <v>41</v>
      </c>
      <c r="C362" s="7">
        <f>INDEX(Data!M:M,MATCH(Q362,Data!AM:AM,0))</f>
        <v>0</v>
      </c>
      <c r="D362" s="7">
        <f>INDEX(Data!O:O,MATCH(Q362,Data!AM:AM,0))</f>
        <v>0</v>
      </c>
      <c r="E362" t="e">
        <f>INDEX(Data!T:T,MATCH($P362,Data!$AL:$AL,0))</f>
        <v>#N/A</v>
      </c>
      <c r="F362" t="e">
        <f>INDEX(Data!P:P,MATCH($P362,Data!$AL:$AL,0))</f>
        <v>#N/A</v>
      </c>
      <c r="G362" t="e">
        <f>INDEX(Data!Z:Z,MATCH($P362,Data!$AL:$AL,0))</f>
        <v>#N/A</v>
      </c>
      <c r="H362" t="e">
        <f>INDEX(Data!AA:AA,MATCH($P362,Data!$AL:$AL,0))</f>
        <v>#N/A</v>
      </c>
      <c r="I362" t="e">
        <f>INDEX(Data!AB:AB,MATCH($P362,Data!$AL:$AL,0))</f>
        <v>#N/A</v>
      </c>
      <c r="J362" t="e">
        <f>INDEX(Data!V:V,MATCH($P362,Data!$AL:$AL,0))</f>
        <v>#N/A</v>
      </c>
      <c r="K362" t="e">
        <f>INDEX(Data!W:W,MATCH($P362,Data!$AL:$AL,0))</f>
        <v>#N/A</v>
      </c>
      <c r="L362" t="e">
        <f>INDEX(Data!X:X,MATCH($P362,Data!$AL:$AL,0))</f>
        <v>#N/A</v>
      </c>
      <c r="M362" t="e">
        <f>INDEX(Data!AD:AD,MATCH($P362,Data!$AL:$AL,0))</f>
        <v>#N/A</v>
      </c>
      <c r="N362" t="e">
        <f>INDEX(Data!AF:AF,MATCH($P362,Data!$AL:$AL,0))</f>
        <v>#N/A</v>
      </c>
      <c r="O362" t="e">
        <f>INDEX(Data!Q:Q,MATCH($P362,Data!$AL:$AL,0))</f>
        <v>#N/A</v>
      </c>
      <c r="Q362" s="3" t="str">
        <f t="shared" si="5"/>
        <v>CL</v>
      </c>
    </row>
    <row r="363" spans="1:17" x14ac:dyDescent="0.25">
      <c r="A363" s="3">
        <v>370</v>
      </c>
      <c r="B363" s="216" t="s">
        <v>42</v>
      </c>
      <c r="C363" s="7">
        <f>INDEX(Data!M:M,MATCH(Q363,Data!AM:AM,0))</f>
        <v>0</v>
      </c>
      <c r="D363" s="7">
        <f>INDEX(Data!O:O,MATCH(Q363,Data!AM:AM,0))</f>
        <v>0</v>
      </c>
      <c r="E363" t="e">
        <f>INDEX(Data!T:T,MATCH($P363,Data!$AL:$AL,0))</f>
        <v>#N/A</v>
      </c>
      <c r="F363" t="e">
        <f>INDEX(Data!P:P,MATCH($P363,Data!$AL:$AL,0))</f>
        <v>#N/A</v>
      </c>
      <c r="G363" t="e">
        <f>INDEX(Data!Z:Z,MATCH($P363,Data!$AL:$AL,0))</f>
        <v>#N/A</v>
      </c>
      <c r="H363" t="e">
        <f>INDEX(Data!AA:AA,MATCH($P363,Data!$AL:$AL,0))</f>
        <v>#N/A</v>
      </c>
      <c r="I363" t="e">
        <f>INDEX(Data!AB:AB,MATCH($P363,Data!$AL:$AL,0))</f>
        <v>#N/A</v>
      </c>
      <c r="J363" t="e">
        <f>INDEX(Data!V:V,MATCH($P363,Data!$AL:$AL,0))</f>
        <v>#N/A</v>
      </c>
      <c r="K363" t="e">
        <f>INDEX(Data!W:W,MATCH($P363,Data!$AL:$AL,0))</f>
        <v>#N/A</v>
      </c>
      <c r="L363" t="e">
        <f>INDEX(Data!X:X,MATCH($P363,Data!$AL:$AL,0))</f>
        <v>#N/A</v>
      </c>
      <c r="M363" t="e">
        <f>INDEX(Data!AD:AD,MATCH($P363,Data!$AL:$AL,0))</f>
        <v>#N/A</v>
      </c>
      <c r="N363" t="e">
        <f>INDEX(Data!AF:AF,MATCH($P363,Data!$AL:$AL,0))</f>
        <v>#N/A</v>
      </c>
      <c r="O363" t="e">
        <f>INDEX(Data!Q:Q,MATCH($P363,Data!$AL:$AL,0))</f>
        <v>#N/A</v>
      </c>
      <c r="Q363" s="3" t="str">
        <f t="shared" si="5"/>
        <v>ACL</v>
      </c>
    </row>
    <row r="364" spans="1:17" x14ac:dyDescent="0.25">
      <c r="A364" s="3">
        <v>371</v>
      </c>
      <c r="B364" s="216" t="s">
        <v>43</v>
      </c>
      <c r="C364" s="7">
        <f>INDEX(Data!M:M,MATCH(Q364,Data!AM:AM,0))</f>
        <v>0</v>
      </c>
      <c r="D364" s="7">
        <f>INDEX(Data!O:O,MATCH(Q364,Data!AM:AM,0))</f>
        <v>0</v>
      </c>
      <c r="E364" t="e">
        <f>INDEX(Data!T:T,MATCH($P364,Data!$AL:$AL,0))</f>
        <v>#N/A</v>
      </c>
      <c r="F364" t="e">
        <f>INDEX(Data!P:P,MATCH($P364,Data!$AL:$AL,0))</f>
        <v>#N/A</v>
      </c>
      <c r="G364" t="e">
        <f>INDEX(Data!Z:Z,MATCH($P364,Data!$AL:$AL,0))</f>
        <v>#N/A</v>
      </c>
      <c r="H364" t="e">
        <f>INDEX(Data!AA:AA,MATCH($P364,Data!$AL:$AL,0))</f>
        <v>#N/A</v>
      </c>
      <c r="I364" t="e">
        <f>INDEX(Data!AB:AB,MATCH($P364,Data!$AL:$AL,0))</f>
        <v>#N/A</v>
      </c>
      <c r="J364" t="e">
        <f>INDEX(Data!V:V,MATCH($P364,Data!$AL:$AL,0))</f>
        <v>#N/A</v>
      </c>
      <c r="K364" t="e">
        <f>INDEX(Data!W:W,MATCH($P364,Data!$AL:$AL,0))</f>
        <v>#N/A</v>
      </c>
      <c r="L364" t="e">
        <f>INDEX(Data!X:X,MATCH($P364,Data!$AL:$AL,0))</f>
        <v>#N/A</v>
      </c>
      <c r="M364" t="e">
        <f>INDEX(Data!AD:AD,MATCH($P364,Data!$AL:$AL,0))</f>
        <v>#N/A</v>
      </c>
      <c r="N364" t="e">
        <f>INDEX(Data!AF:AF,MATCH($P364,Data!$AL:$AL,0))</f>
        <v>#N/A</v>
      </c>
      <c r="O364" t="e">
        <f>INDEX(Data!Q:Q,MATCH($P364,Data!$AL:$AL,0))</f>
        <v>#N/A</v>
      </c>
      <c r="Q364" s="3" t="str">
        <f t="shared" si="5"/>
        <v>SPCL</v>
      </c>
    </row>
    <row r="365" spans="1:17" x14ac:dyDescent="0.25">
      <c r="A365" s="4">
        <v>372</v>
      </c>
      <c r="B365" s="217" t="s">
        <v>44</v>
      </c>
      <c r="C365" s="8">
        <f>INDEX(Data!M:M,MATCH(Q365,Data!AM:AM,0))</f>
        <v>0</v>
      </c>
      <c r="D365" s="8">
        <f>INDEX(Data!O:O,MATCH(Q365,Data!AM:AM,0))</f>
        <v>0</v>
      </c>
      <c r="E365" s="1" t="e">
        <f>INDEX(Data!T:T,MATCH($P365,Data!$AL:$AL,0))</f>
        <v>#N/A</v>
      </c>
      <c r="F365" s="1" t="e">
        <f>INDEX(Data!P:P,MATCH($P365,Data!$AL:$AL,0))</f>
        <v>#N/A</v>
      </c>
      <c r="G365" s="1" t="e">
        <f>INDEX(Data!Z:Z,MATCH($P365,Data!$AL:$AL,0))</f>
        <v>#N/A</v>
      </c>
      <c r="H365" s="1" t="e">
        <f>INDEX(Data!AA:AA,MATCH($P365,Data!$AL:$AL,0))</f>
        <v>#N/A</v>
      </c>
      <c r="I365" s="1" t="e">
        <f>INDEX(Data!AB:AB,MATCH($P365,Data!$AL:$AL,0))</f>
        <v>#N/A</v>
      </c>
      <c r="J365" s="1" t="e">
        <f>INDEX(Data!V:V,MATCH($P365,Data!$AL:$AL,0))</f>
        <v>#N/A</v>
      </c>
      <c r="K365" s="1" t="e">
        <f>INDEX(Data!W:W,MATCH($P365,Data!$AL:$AL,0))</f>
        <v>#N/A</v>
      </c>
      <c r="L365" s="1" t="e">
        <f>INDEX(Data!X:X,MATCH($P365,Data!$AL:$AL,0))</f>
        <v>#N/A</v>
      </c>
      <c r="M365" s="1" t="e">
        <f>INDEX(Data!AD:AD,MATCH($P365,Data!$AL:$AL,0))</f>
        <v>#N/A</v>
      </c>
      <c r="N365" s="1" t="e">
        <f>INDEX(Data!AF:AF,MATCH($P365,Data!$AL:$AL,0))</f>
        <v>#N/A</v>
      </c>
      <c r="O365" s="1" t="e">
        <f>INDEX(Data!Q:Q,MATCH($P365,Data!$AL:$AL,0))</f>
        <v>#N/A</v>
      </c>
      <c r="P365" s="1"/>
      <c r="Q365" s="4" t="str">
        <f t="shared" si="5"/>
        <v>SPACL</v>
      </c>
    </row>
    <row r="366" spans="1:17" x14ac:dyDescent="0.25">
      <c r="A366" s="3">
        <v>373</v>
      </c>
      <c r="B366" s="218" t="s">
        <v>40</v>
      </c>
      <c r="C366" s="6">
        <f>INDEX(Data!M:M,MATCH(Q366,Data!AM:AM,0))</f>
        <v>0</v>
      </c>
      <c r="D366" s="6">
        <f>INDEX(Data!O:O,MATCH(Q366,Data!AM:AM,0))</f>
        <v>0</v>
      </c>
      <c r="E366" s="2" t="e">
        <f>INDEX(Data!T:T,MATCH($P366,Data!$AL:$AL,0))</f>
        <v>#N/A</v>
      </c>
      <c r="F366" s="2" t="e">
        <f>INDEX(Data!P:P,MATCH($P366,Data!$AL:$AL,0))</f>
        <v>#N/A</v>
      </c>
      <c r="G366" s="2" t="e">
        <f>INDEX(Data!Z:Z,MATCH($P366,Data!$AL:$AL,0))</f>
        <v>#N/A</v>
      </c>
      <c r="H366" s="2" t="e">
        <f>INDEX(Data!AA:AA,MATCH($P366,Data!$AL:$AL,0))</f>
        <v>#N/A</v>
      </c>
      <c r="I366" s="2" t="e">
        <f>INDEX(Data!AB:AB,MATCH($P366,Data!$AL:$AL,0))</f>
        <v>#N/A</v>
      </c>
      <c r="J366" s="2" t="e">
        <f>INDEX(Data!V:V,MATCH($P366,Data!$AL:$AL,0))</f>
        <v>#N/A</v>
      </c>
      <c r="K366" s="2" t="e">
        <f>INDEX(Data!W:W,MATCH($P366,Data!$AL:$AL,0))</f>
        <v>#N/A</v>
      </c>
      <c r="L366" s="2" t="e">
        <f>INDEX(Data!X:X,MATCH($P366,Data!$AL:$AL,0))</f>
        <v>#N/A</v>
      </c>
      <c r="M366" s="2" t="e">
        <f>INDEX(Data!AD:AD,MATCH($P366,Data!$AL:$AL,0))</f>
        <v>#N/A</v>
      </c>
      <c r="N366" s="2" t="e">
        <f>INDEX(Data!AF:AF,MATCH($P366,Data!$AL:$AL,0))</f>
        <v>#N/A</v>
      </c>
      <c r="O366" s="2" t="e">
        <f>INDEX(Data!Q:Q,MATCH($P366,Data!$AL:$AL,0))</f>
        <v>#N/A</v>
      </c>
      <c r="Q366" s="3" t="str">
        <f t="shared" si="5"/>
        <v>NCL</v>
      </c>
    </row>
    <row r="367" spans="1:17" x14ac:dyDescent="0.25">
      <c r="A367" s="3">
        <v>374</v>
      </c>
      <c r="B367" s="216" t="s">
        <v>41</v>
      </c>
      <c r="C367" s="7">
        <f>INDEX(Data!M:M,MATCH(Q367,Data!AM:AM,0))</f>
        <v>0</v>
      </c>
      <c r="D367" s="7">
        <f>INDEX(Data!O:O,MATCH(Q367,Data!AM:AM,0))</f>
        <v>0</v>
      </c>
      <c r="E367" t="e">
        <f>INDEX(Data!T:T,MATCH($P367,Data!$AL:$AL,0))</f>
        <v>#N/A</v>
      </c>
      <c r="F367" t="e">
        <f>INDEX(Data!P:P,MATCH($P367,Data!$AL:$AL,0))</f>
        <v>#N/A</v>
      </c>
      <c r="G367" t="e">
        <f>INDEX(Data!Z:Z,MATCH($P367,Data!$AL:$AL,0))</f>
        <v>#N/A</v>
      </c>
      <c r="H367" t="e">
        <f>INDEX(Data!AA:AA,MATCH($P367,Data!$AL:$AL,0))</f>
        <v>#N/A</v>
      </c>
      <c r="I367" t="e">
        <f>INDEX(Data!AB:AB,MATCH($P367,Data!$AL:$AL,0))</f>
        <v>#N/A</v>
      </c>
      <c r="J367" t="e">
        <f>INDEX(Data!V:V,MATCH($P367,Data!$AL:$AL,0))</f>
        <v>#N/A</v>
      </c>
      <c r="K367" t="e">
        <f>INDEX(Data!W:W,MATCH($P367,Data!$AL:$AL,0))</f>
        <v>#N/A</v>
      </c>
      <c r="L367" t="e">
        <f>INDEX(Data!X:X,MATCH($P367,Data!$AL:$AL,0))</f>
        <v>#N/A</v>
      </c>
      <c r="M367" t="e">
        <f>INDEX(Data!AD:AD,MATCH($P367,Data!$AL:$AL,0))</f>
        <v>#N/A</v>
      </c>
      <c r="N367" t="e">
        <f>INDEX(Data!AF:AF,MATCH($P367,Data!$AL:$AL,0))</f>
        <v>#N/A</v>
      </c>
      <c r="O367" t="e">
        <f>INDEX(Data!Q:Q,MATCH($P367,Data!$AL:$AL,0))</f>
        <v>#N/A</v>
      </c>
      <c r="Q367" s="3" t="str">
        <f t="shared" si="5"/>
        <v>CL</v>
      </c>
    </row>
    <row r="368" spans="1:17" x14ac:dyDescent="0.25">
      <c r="A368" s="3">
        <v>375</v>
      </c>
      <c r="B368" s="216" t="s">
        <v>42</v>
      </c>
      <c r="C368" s="7">
        <f>INDEX(Data!M:M,MATCH(Q368,Data!AM:AM,0))</f>
        <v>0</v>
      </c>
      <c r="D368" s="7">
        <f>INDEX(Data!O:O,MATCH(Q368,Data!AM:AM,0))</f>
        <v>0</v>
      </c>
      <c r="E368" t="e">
        <f>INDEX(Data!T:T,MATCH($P368,Data!$AL:$AL,0))</f>
        <v>#N/A</v>
      </c>
      <c r="F368" t="e">
        <f>INDEX(Data!P:P,MATCH($P368,Data!$AL:$AL,0))</f>
        <v>#N/A</v>
      </c>
      <c r="G368" t="e">
        <f>INDEX(Data!Z:Z,MATCH($P368,Data!$AL:$AL,0))</f>
        <v>#N/A</v>
      </c>
      <c r="H368" t="e">
        <f>INDEX(Data!AA:AA,MATCH($P368,Data!$AL:$AL,0))</f>
        <v>#N/A</v>
      </c>
      <c r="I368" t="e">
        <f>INDEX(Data!AB:AB,MATCH($P368,Data!$AL:$AL,0))</f>
        <v>#N/A</v>
      </c>
      <c r="J368" t="e">
        <f>INDEX(Data!V:V,MATCH($P368,Data!$AL:$AL,0))</f>
        <v>#N/A</v>
      </c>
      <c r="K368" t="e">
        <f>INDEX(Data!W:W,MATCH($P368,Data!$AL:$AL,0))</f>
        <v>#N/A</v>
      </c>
      <c r="L368" t="e">
        <f>INDEX(Data!X:X,MATCH($P368,Data!$AL:$AL,0))</f>
        <v>#N/A</v>
      </c>
      <c r="M368" t="e">
        <f>INDEX(Data!AD:AD,MATCH($P368,Data!$AL:$AL,0))</f>
        <v>#N/A</v>
      </c>
      <c r="N368" t="e">
        <f>INDEX(Data!AF:AF,MATCH($P368,Data!$AL:$AL,0))</f>
        <v>#N/A</v>
      </c>
      <c r="O368" t="e">
        <f>INDEX(Data!Q:Q,MATCH($P368,Data!$AL:$AL,0))</f>
        <v>#N/A</v>
      </c>
      <c r="Q368" s="3" t="str">
        <f t="shared" si="5"/>
        <v>ACL</v>
      </c>
    </row>
    <row r="369" spans="1:17" x14ac:dyDescent="0.25">
      <c r="A369" s="3">
        <v>376</v>
      </c>
      <c r="B369" s="216" t="s">
        <v>43</v>
      </c>
      <c r="C369" s="7">
        <f>INDEX(Data!M:M,MATCH(Q369,Data!AM:AM,0))</f>
        <v>0</v>
      </c>
      <c r="D369" s="7">
        <f>INDEX(Data!O:O,MATCH(Q369,Data!AM:AM,0))</f>
        <v>0</v>
      </c>
      <c r="E369" t="e">
        <f>INDEX(Data!T:T,MATCH($P369,Data!$AL:$AL,0))</f>
        <v>#N/A</v>
      </c>
      <c r="F369" t="e">
        <f>INDEX(Data!P:P,MATCH($P369,Data!$AL:$AL,0))</f>
        <v>#N/A</v>
      </c>
      <c r="G369" t="e">
        <f>INDEX(Data!Z:Z,MATCH($P369,Data!$AL:$AL,0))</f>
        <v>#N/A</v>
      </c>
      <c r="H369" t="e">
        <f>INDEX(Data!AA:AA,MATCH($P369,Data!$AL:$AL,0))</f>
        <v>#N/A</v>
      </c>
      <c r="I369" t="e">
        <f>INDEX(Data!AB:AB,MATCH($P369,Data!$AL:$AL,0))</f>
        <v>#N/A</v>
      </c>
      <c r="J369" t="e">
        <f>INDEX(Data!V:V,MATCH($P369,Data!$AL:$AL,0))</f>
        <v>#N/A</v>
      </c>
      <c r="K369" t="e">
        <f>INDEX(Data!W:W,MATCH($P369,Data!$AL:$AL,0))</f>
        <v>#N/A</v>
      </c>
      <c r="L369" t="e">
        <f>INDEX(Data!X:X,MATCH($P369,Data!$AL:$AL,0))</f>
        <v>#N/A</v>
      </c>
      <c r="M369" t="e">
        <f>INDEX(Data!AD:AD,MATCH($P369,Data!$AL:$AL,0))</f>
        <v>#N/A</v>
      </c>
      <c r="N369" t="e">
        <f>INDEX(Data!AF:AF,MATCH($P369,Data!$AL:$AL,0))</f>
        <v>#N/A</v>
      </c>
      <c r="O369" t="e">
        <f>INDEX(Data!Q:Q,MATCH($P369,Data!$AL:$AL,0))</f>
        <v>#N/A</v>
      </c>
      <c r="Q369" s="3" t="str">
        <f t="shared" si="5"/>
        <v>SPCL</v>
      </c>
    </row>
    <row r="370" spans="1:17" x14ac:dyDescent="0.25">
      <c r="A370" s="4">
        <v>377</v>
      </c>
      <c r="B370" s="217" t="s">
        <v>44</v>
      </c>
      <c r="C370" s="8">
        <f>INDEX(Data!M:M,MATCH(Q370,Data!AM:AM,0))</f>
        <v>0</v>
      </c>
      <c r="D370" s="8">
        <f>INDEX(Data!O:O,MATCH(Q370,Data!AM:AM,0))</f>
        <v>0</v>
      </c>
      <c r="E370" s="1" t="e">
        <f>INDEX(Data!T:T,MATCH($P370,Data!$AL:$AL,0))</f>
        <v>#N/A</v>
      </c>
      <c r="F370" s="1" t="e">
        <f>INDEX(Data!P:P,MATCH($P370,Data!$AL:$AL,0))</f>
        <v>#N/A</v>
      </c>
      <c r="G370" s="1" t="e">
        <f>INDEX(Data!Z:Z,MATCH($P370,Data!$AL:$AL,0))</f>
        <v>#N/A</v>
      </c>
      <c r="H370" s="1" t="e">
        <f>INDEX(Data!AA:AA,MATCH($P370,Data!$AL:$AL,0))</f>
        <v>#N/A</v>
      </c>
      <c r="I370" s="1" t="e">
        <f>INDEX(Data!AB:AB,MATCH($P370,Data!$AL:$AL,0))</f>
        <v>#N/A</v>
      </c>
      <c r="J370" s="1" t="e">
        <f>INDEX(Data!V:V,MATCH($P370,Data!$AL:$AL,0))</f>
        <v>#N/A</v>
      </c>
      <c r="K370" s="1" t="e">
        <f>INDEX(Data!W:W,MATCH($P370,Data!$AL:$AL,0))</f>
        <v>#N/A</v>
      </c>
      <c r="L370" s="1" t="e">
        <f>INDEX(Data!X:X,MATCH($P370,Data!$AL:$AL,0))</f>
        <v>#N/A</v>
      </c>
      <c r="M370" s="1" t="e">
        <f>INDEX(Data!AD:AD,MATCH($P370,Data!$AL:$AL,0))</f>
        <v>#N/A</v>
      </c>
      <c r="N370" s="1" t="e">
        <f>INDEX(Data!AF:AF,MATCH($P370,Data!$AL:$AL,0))</f>
        <v>#N/A</v>
      </c>
      <c r="O370" s="1" t="e">
        <f>INDEX(Data!Q:Q,MATCH($P370,Data!$AL:$AL,0))</f>
        <v>#N/A</v>
      </c>
      <c r="P370" s="1"/>
      <c r="Q370" s="4" t="str">
        <f t="shared" si="5"/>
        <v>SPACL</v>
      </c>
    </row>
    <row r="371" spans="1:17" x14ac:dyDescent="0.25">
      <c r="A371" s="3">
        <v>378</v>
      </c>
      <c r="B371" s="218" t="s">
        <v>40</v>
      </c>
      <c r="C371" s="6">
        <f>INDEX(Data!M:M,MATCH(Q371,Data!AM:AM,0))</f>
        <v>0</v>
      </c>
      <c r="D371" s="6">
        <f>INDEX(Data!O:O,MATCH(Q371,Data!AM:AM,0))</f>
        <v>0</v>
      </c>
      <c r="E371" s="2" t="e">
        <f>INDEX(Data!T:T,MATCH($P371,Data!$AL:$AL,0))</f>
        <v>#N/A</v>
      </c>
      <c r="F371" s="2" t="e">
        <f>INDEX(Data!P:P,MATCH($P371,Data!$AL:$AL,0))</f>
        <v>#N/A</v>
      </c>
      <c r="G371" s="2" t="e">
        <f>INDEX(Data!Z:Z,MATCH($P371,Data!$AL:$AL,0))</f>
        <v>#N/A</v>
      </c>
      <c r="H371" s="2" t="e">
        <f>INDEX(Data!AA:AA,MATCH($P371,Data!$AL:$AL,0))</f>
        <v>#N/A</v>
      </c>
      <c r="I371" s="2" t="e">
        <f>INDEX(Data!AB:AB,MATCH($P371,Data!$AL:$AL,0))</f>
        <v>#N/A</v>
      </c>
      <c r="J371" s="2" t="e">
        <f>INDEX(Data!V:V,MATCH($P371,Data!$AL:$AL,0))</f>
        <v>#N/A</v>
      </c>
      <c r="K371" s="2" t="e">
        <f>INDEX(Data!W:W,MATCH($P371,Data!$AL:$AL,0))</f>
        <v>#N/A</v>
      </c>
      <c r="L371" s="2" t="e">
        <f>INDEX(Data!X:X,MATCH($P371,Data!$AL:$AL,0))</f>
        <v>#N/A</v>
      </c>
      <c r="M371" s="2" t="e">
        <f>INDEX(Data!AD:AD,MATCH($P371,Data!$AL:$AL,0))</f>
        <v>#N/A</v>
      </c>
      <c r="N371" s="2" t="e">
        <f>INDEX(Data!AF:AF,MATCH($P371,Data!$AL:$AL,0))</f>
        <v>#N/A</v>
      </c>
      <c r="O371" s="2" t="e">
        <f>INDEX(Data!Q:Q,MATCH($P371,Data!$AL:$AL,0))</f>
        <v>#N/A</v>
      </c>
      <c r="Q371" s="3" t="str">
        <f t="shared" si="5"/>
        <v>NCL</v>
      </c>
    </row>
    <row r="372" spans="1:17" x14ac:dyDescent="0.25">
      <c r="A372" s="3">
        <v>379</v>
      </c>
      <c r="B372" s="216" t="s">
        <v>41</v>
      </c>
      <c r="C372" s="7">
        <f>INDEX(Data!M:M,MATCH(Q372,Data!AM:AM,0))</f>
        <v>0</v>
      </c>
      <c r="D372" s="7">
        <f>INDEX(Data!O:O,MATCH(Q372,Data!AM:AM,0))</f>
        <v>0</v>
      </c>
      <c r="E372" t="e">
        <f>INDEX(Data!T:T,MATCH($P372,Data!$AL:$AL,0))</f>
        <v>#N/A</v>
      </c>
      <c r="F372" t="e">
        <f>INDEX(Data!P:P,MATCH($P372,Data!$AL:$AL,0))</f>
        <v>#N/A</v>
      </c>
      <c r="G372" t="e">
        <f>INDEX(Data!Z:Z,MATCH($P372,Data!$AL:$AL,0))</f>
        <v>#N/A</v>
      </c>
      <c r="H372" t="e">
        <f>INDEX(Data!AA:AA,MATCH($P372,Data!$AL:$AL,0))</f>
        <v>#N/A</v>
      </c>
      <c r="I372" t="e">
        <f>INDEX(Data!AB:AB,MATCH($P372,Data!$AL:$AL,0))</f>
        <v>#N/A</v>
      </c>
      <c r="J372" t="e">
        <f>INDEX(Data!V:V,MATCH($P372,Data!$AL:$AL,0))</f>
        <v>#N/A</v>
      </c>
      <c r="K372" t="e">
        <f>INDEX(Data!W:W,MATCH($P372,Data!$AL:$AL,0))</f>
        <v>#N/A</v>
      </c>
      <c r="L372" t="e">
        <f>INDEX(Data!X:X,MATCH($P372,Data!$AL:$AL,0))</f>
        <v>#N/A</v>
      </c>
      <c r="M372" t="e">
        <f>INDEX(Data!AD:AD,MATCH($P372,Data!$AL:$AL,0))</f>
        <v>#N/A</v>
      </c>
      <c r="N372" t="e">
        <f>INDEX(Data!AF:AF,MATCH($P372,Data!$AL:$AL,0))</f>
        <v>#N/A</v>
      </c>
      <c r="O372" t="e">
        <f>INDEX(Data!Q:Q,MATCH($P372,Data!$AL:$AL,0))</f>
        <v>#N/A</v>
      </c>
      <c r="Q372" s="3" t="str">
        <f t="shared" si="5"/>
        <v>CL</v>
      </c>
    </row>
    <row r="373" spans="1:17" x14ac:dyDescent="0.25">
      <c r="A373" s="3">
        <v>380</v>
      </c>
      <c r="B373" s="216" t="s">
        <v>42</v>
      </c>
      <c r="C373" s="7">
        <f>INDEX(Data!M:M,MATCH(Q373,Data!AM:AM,0))</f>
        <v>0</v>
      </c>
      <c r="D373" s="7">
        <f>INDEX(Data!O:O,MATCH(Q373,Data!AM:AM,0))</f>
        <v>0</v>
      </c>
      <c r="E373" t="e">
        <f>INDEX(Data!T:T,MATCH($P373,Data!$AL:$AL,0))</f>
        <v>#N/A</v>
      </c>
      <c r="F373" t="e">
        <f>INDEX(Data!P:P,MATCH($P373,Data!$AL:$AL,0))</f>
        <v>#N/A</v>
      </c>
      <c r="G373" t="e">
        <f>INDEX(Data!Z:Z,MATCH($P373,Data!$AL:$AL,0))</f>
        <v>#N/A</v>
      </c>
      <c r="H373" t="e">
        <f>INDEX(Data!AA:AA,MATCH($P373,Data!$AL:$AL,0))</f>
        <v>#N/A</v>
      </c>
      <c r="I373" t="e">
        <f>INDEX(Data!AB:AB,MATCH($P373,Data!$AL:$AL,0))</f>
        <v>#N/A</v>
      </c>
      <c r="J373" t="e">
        <f>INDEX(Data!V:V,MATCH($P373,Data!$AL:$AL,0))</f>
        <v>#N/A</v>
      </c>
      <c r="K373" t="e">
        <f>INDEX(Data!W:W,MATCH($P373,Data!$AL:$AL,0))</f>
        <v>#N/A</v>
      </c>
      <c r="L373" t="e">
        <f>INDEX(Data!X:X,MATCH($P373,Data!$AL:$AL,0))</f>
        <v>#N/A</v>
      </c>
      <c r="M373" t="e">
        <f>INDEX(Data!AD:AD,MATCH($P373,Data!$AL:$AL,0))</f>
        <v>#N/A</v>
      </c>
      <c r="N373" t="e">
        <f>INDEX(Data!AF:AF,MATCH($P373,Data!$AL:$AL,0))</f>
        <v>#N/A</v>
      </c>
      <c r="O373" t="e">
        <f>INDEX(Data!Q:Q,MATCH($P373,Data!$AL:$AL,0))</f>
        <v>#N/A</v>
      </c>
      <c r="Q373" s="3" t="str">
        <f t="shared" si="5"/>
        <v>ACL</v>
      </c>
    </row>
    <row r="374" spans="1:17" x14ac:dyDescent="0.25">
      <c r="A374" s="3">
        <v>381</v>
      </c>
      <c r="B374" s="216" t="s">
        <v>43</v>
      </c>
      <c r="C374" s="7">
        <f>INDEX(Data!M:M,MATCH(Q374,Data!AM:AM,0))</f>
        <v>0</v>
      </c>
      <c r="D374" s="7">
        <f>INDEX(Data!O:O,MATCH(Q374,Data!AM:AM,0))</f>
        <v>0</v>
      </c>
      <c r="E374" t="e">
        <f>INDEX(Data!T:T,MATCH($P374,Data!$AL:$AL,0))</f>
        <v>#N/A</v>
      </c>
      <c r="F374" t="e">
        <f>INDEX(Data!P:P,MATCH($P374,Data!$AL:$AL,0))</f>
        <v>#N/A</v>
      </c>
      <c r="G374" t="e">
        <f>INDEX(Data!Z:Z,MATCH($P374,Data!$AL:$AL,0))</f>
        <v>#N/A</v>
      </c>
      <c r="H374" t="e">
        <f>INDEX(Data!AA:AA,MATCH($P374,Data!$AL:$AL,0))</f>
        <v>#N/A</v>
      </c>
      <c r="I374" t="e">
        <f>INDEX(Data!AB:AB,MATCH($P374,Data!$AL:$AL,0))</f>
        <v>#N/A</v>
      </c>
      <c r="J374" t="e">
        <f>INDEX(Data!V:V,MATCH($P374,Data!$AL:$AL,0))</f>
        <v>#N/A</v>
      </c>
      <c r="K374" t="e">
        <f>INDEX(Data!W:W,MATCH($P374,Data!$AL:$AL,0))</f>
        <v>#N/A</v>
      </c>
      <c r="L374" t="e">
        <f>INDEX(Data!X:X,MATCH($P374,Data!$AL:$AL,0))</f>
        <v>#N/A</v>
      </c>
      <c r="M374" t="e">
        <f>INDEX(Data!AD:AD,MATCH($P374,Data!$AL:$AL,0))</f>
        <v>#N/A</v>
      </c>
      <c r="N374" t="e">
        <f>INDEX(Data!AF:AF,MATCH($P374,Data!$AL:$AL,0))</f>
        <v>#N/A</v>
      </c>
      <c r="O374" t="e">
        <f>INDEX(Data!Q:Q,MATCH($P374,Data!$AL:$AL,0))</f>
        <v>#N/A</v>
      </c>
      <c r="Q374" s="3" t="str">
        <f t="shared" si="5"/>
        <v>SPCL</v>
      </c>
    </row>
    <row r="375" spans="1:17" x14ac:dyDescent="0.25">
      <c r="A375" s="4">
        <v>382</v>
      </c>
      <c r="B375" s="217" t="s">
        <v>44</v>
      </c>
      <c r="C375" s="8">
        <f>INDEX(Data!M:M,MATCH(Q375,Data!AM:AM,0))</f>
        <v>0</v>
      </c>
      <c r="D375" s="8">
        <f>INDEX(Data!O:O,MATCH(Q375,Data!AM:AM,0))</f>
        <v>0</v>
      </c>
      <c r="E375" s="1" t="e">
        <f>INDEX(Data!T:T,MATCH($P375,Data!$AL:$AL,0))</f>
        <v>#N/A</v>
      </c>
      <c r="F375" s="1" t="e">
        <f>INDEX(Data!P:P,MATCH($P375,Data!$AL:$AL,0))</f>
        <v>#N/A</v>
      </c>
      <c r="G375" s="1" t="e">
        <f>INDEX(Data!Z:Z,MATCH($P375,Data!$AL:$AL,0))</f>
        <v>#N/A</v>
      </c>
      <c r="H375" s="1" t="e">
        <f>INDEX(Data!AA:AA,MATCH($P375,Data!$AL:$AL,0))</f>
        <v>#N/A</v>
      </c>
      <c r="I375" s="1" t="e">
        <f>INDEX(Data!AB:AB,MATCH($P375,Data!$AL:$AL,0))</f>
        <v>#N/A</v>
      </c>
      <c r="J375" s="1" t="e">
        <f>INDEX(Data!V:V,MATCH($P375,Data!$AL:$AL,0))</f>
        <v>#N/A</v>
      </c>
      <c r="K375" s="1" t="e">
        <f>INDEX(Data!W:W,MATCH($P375,Data!$AL:$AL,0))</f>
        <v>#N/A</v>
      </c>
      <c r="L375" s="1" t="e">
        <f>INDEX(Data!X:X,MATCH($P375,Data!$AL:$AL,0))</f>
        <v>#N/A</v>
      </c>
      <c r="M375" s="1" t="e">
        <f>INDEX(Data!AD:AD,MATCH($P375,Data!$AL:$AL,0))</f>
        <v>#N/A</v>
      </c>
      <c r="N375" s="1" t="e">
        <f>INDEX(Data!AF:AF,MATCH($P375,Data!$AL:$AL,0))</f>
        <v>#N/A</v>
      </c>
      <c r="O375" s="1" t="e">
        <f>INDEX(Data!Q:Q,MATCH($P375,Data!$AL:$AL,0))</f>
        <v>#N/A</v>
      </c>
      <c r="P375" s="1"/>
      <c r="Q375" s="4" t="str">
        <f t="shared" si="5"/>
        <v>SPACL</v>
      </c>
    </row>
    <row r="376" spans="1:17" x14ac:dyDescent="0.25">
      <c r="A376" s="3">
        <v>383</v>
      </c>
      <c r="B376" s="218" t="s">
        <v>40</v>
      </c>
      <c r="C376" s="6">
        <f>INDEX(Data!M:M,MATCH(Q376,Data!AM:AM,0))</f>
        <v>0</v>
      </c>
      <c r="D376" s="6">
        <f>INDEX(Data!O:O,MATCH(Q376,Data!AM:AM,0))</f>
        <v>0</v>
      </c>
      <c r="E376" s="2" t="e">
        <f>INDEX(Data!T:T,MATCH($P376,Data!$AL:$AL,0))</f>
        <v>#N/A</v>
      </c>
      <c r="F376" s="2" t="e">
        <f>INDEX(Data!P:P,MATCH($P376,Data!$AL:$AL,0))</f>
        <v>#N/A</v>
      </c>
      <c r="G376" s="2" t="e">
        <f>INDEX(Data!Z:Z,MATCH($P376,Data!$AL:$AL,0))</f>
        <v>#N/A</v>
      </c>
      <c r="H376" s="2" t="e">
        <f>INDEX(Data!AA:AA,MATCH($P376,Data!$AL:$AL,0))</f>
        <v>#N/A</v>
      </c>
      <c r="I376" s="2" t="e">
        <f>INDEX(Data!AB:AB,MATCH($P376,Data!$AL:$AL,0))</f>
        <v>#N/A</v>
      </c>
      <c r="J376" s="2" t="e">
        <f>INDEX(Data!V:V,MATCH($P376,Data!$AL:$AL,0))</f>
        <v>#N/A</v>
      </c>
      <c r="K376" s="2" t="e">
        <f>INDEX(Data!W:W,MATCH($P376,Data!$AL:$AL,0))</f>
        <v>#N/A</v>
      </c>
      <c r="L376" s="2" t="e">
        <f>INDEX(Data!X:X,MATCH($P376,Data!$AL:$AL,0))</f>
        <v>#N/A</v>
      </c>
      <c r="M376" s="2" t="e">
        <f>INDEX(Data!AD:AD,MATCH($P376,Data!$AL:$AL,0))</f>
        <v>#N/A</v>
      </c>
      <c r="N376" s="2" t="e">
        <f>INDEX(Data!AF:AF,MATCH($P376,Data!$AL:$AL,0))</f>
        <v>#N/A</v>
      </c>
      <c r="O376" s="2" t="e">
        <f>INDEX(Data!Q:Q,MATCH($P376,Data!$AL:$AL,0))</f>
        <v>#N/A</v>
      </c>
      <c r="Q376" s="3" t="str">
        <f t="shared" si="5"/>
        <v>NCL</v>
      </c>
    </row>
    <row r="377" spans="1:17" x14ac:dyDescent="0.25">
      <c r="A377" s="3">
        <v>384</v>
      </c>
      <c r="B377" s="216" t="s">
        <v>41</v>
      </c>
      <c r="C377" s="7">
        <f>INDEX(Data!M:M,MATCH(Q377,Data!AM:AM,0))</f>
        <v>0</v>
      </c>
      <c r="D377" s="7">
        <f>INDEX(Data!O:O,MATCH(Q377,Data!AM:AM,0))</f>
        <v>0</v>
      </c>
      <c r="E377" t="e">
        <f>INDEX(Data!T:T,MATCH($P377,Data!$AL:$AL,0))</f>
        <v>#N/A</v>
      </c>
      <c r="F377" t="e">
        <f>INDEX(Data!P:P,MATCH($P377,Data!$AL:$AL,0))</f>
        <v>#N/A</v>
      </c>
      <c r="G377" t="e">
        <f>INDEX(Data!Z:Z,MATCH($P377,Data!$AL:$AL,0))</f>
        <v>#N/A</v>
      </c>
      <c r="H377" t="e">
        <f>INDEX(Data!AA:AA,MATCH($P377,Data!$AL:$AL,0))</f>
        <v>#N/A</v>
      </c>
      <c r="I377" t="e">
        <f>INDEX(Data!AB:AB,MATCH($P377,Data!$AL:$AL,0))</f>
        <v>#N/A</v>
      </c>
      <c r="J377" t="e">
        <f>INDEX(Data!V:V,MATCH($P377,Data!$AL:$AL,0))</f>
        <v>#N/A</v>
      </c>
      <c r="K377" t="e">
        <f>INDEX(Data!W:W,MATCH($P377,Data!$AL:$AL,0))</f>
        <v>#N/A</v>
      </c>
      <c r="L377" t="e">
        <f>INDEX(Data!X:X,MATCH($P377,Data!$AL:$AL,0))</f>
        <v>#N/A</v>
      </c>
      <c r="M377" t="e">
        <f>INDEX(Data!AD:AD,MATCH($P377,Data!$AL:$AL,0))</f>
        <v>#N/A</v>
      </c>
      <c r="N377" t="e">
        <f>INDEX(Data!AF:AF,MATCH($P377,Data!$AL:$AL,0))</f>
        <v>#N/A</v>
      </c>
      <c r="O377" t="e">
        <f>INDEX(Data!Q:Q,MATCH($P377,Data!$AL:$AL,0))</f>
        <v>#N/A</v>
      </c>
      <c r="Q377" s="3" t="str">
        <f t="shared" si="5"/>
        <v>CL</v>
      </c>
    </row>
    <row r="378" spans="1:17" x14ac:dyDescent="0.25">
      <c r="A378" s="3">
        <v>385</v>
      </c>
      <c r="B378" s="216" t="s">
        <v>42</v>
      </c>
      <c r="C378" s="7">
        <f>INDEX(Data!M:M,MATCH(Q378,Data!AM:AM,0))</f>
        <v>0</v>
      </c>
      <c r="D378" s="7">
        <f>INDEX(Data!O:O,MATCH(Q378,Data!AM:AM,0))</f>
        <v>0</v>
      </c>
      <c r="E378" t="e">
        <f>INDEX(Data!T:T,MATCH($P378,Data!$AL:$AL,0))</f>
        <v>#N/A</v>
      </c>
      <c r="F378" t="e">
        <f>INDEX(Data!P:P,MATCH($P378,Data!$AL:$AL,0))</f>
        <v>#N/A</v>
      </c>
      <c r="G378" t="e">
        <f>INDEX(Data!Z:Z,MATCH($P378,Data!$AL:$AL,0))</f>
        <v>#N/A</v>
      </c>
      <c r="H378" t="e">
        <f>INDEX(Data!AA:AA,MATCH($P378,Data!$AL:$AL,0))</f>
        <v>#N/A</v>
      </c>
      <c r="I378" t="e">
        <f>INDEX(Data!AB:AB,MATCH($P378,Data!$AL:$AL,0))</f>
        <v>#N/A</v>
      </c>
      <c r="J378" t="e">
        <f>INDEX(Data!V:V,MATCH($P378,Data!$AL:$AL,0))</f>
        <v>#N/A</v>
      </c>
      <c r="K378" t="e">
        <f>INDEX(Data!W:W,MATCH($P378,Data!$AL:$AL,0))</f>
        <v>#N/A</v>
      </c>
      <c r="L378" t="e">
        <f>INDEX(Data!X:X,MATCH($P378,Data!$AL:$AL,0))</f>
        <v>#N/A</v>
      </c>
      <c r="M378" t="e">
        <f>INDEX(Data!AD:AD,MATCH($P378,Data!$AL:$AL,0))</f>
        <v>#N/A</v>
      </c>
      <c r="N378" t="e">
        <f>INDEX(Data!AF:AF,MATCH($P378,Data!$AL:$AL,0))</f>
        <v>#N/A</v>
      </c>
      <c r="O378" t="e">
        <f>INDEX(Data!Q:Q,MATCH($P378,Data!$AL:$AL,0))</f>
        <v>#N/A</v>
      </c>
      <c r="Q378" s="3" t="str">
        <f t="shared" ref="Q378:Q441" si="6">_xlfn.CONCAT(B378,P378)</f>
        <v>ACL</v>
      </c>
    </row>
    <row r="379" spans="1:17" x14ac:dyDescent="0.25">
      <c r="A379" s="3">
        <v>386</v>
      </c>
      <c r="B379" s="216" t="s">
        <v>43</v>
      </c>
      <c r="C379" s="7">
        <f>INDEX(Data!M:M,MATCH(Q379,Data!AM:AM,0))</f>
        <v>0</v>
      </c>
      <c r="D379" s="7">
        <f>INDEX(Data!O:O,MATCH(Q379,Data!AM:AM,0))</f>
        <v>0</v>
      </c>
      <c r="E379" t="e">
        <f>INDEX(Data!T:T,MATCH($P379,Data!$AL:$AL,0))</f>
        <v>#N/A</v>
      </c>
      <c r="F379" t="e">
        <f>INDEX(Data!P:P,MATCH($P379,Data!$AL:$AL,0))</f>
        <v>#N/A</v>
      </c>
      <c r="G379" t="e">
        <f>INDEX(Data!Z:Z,MATCH($P379,Data!$AL:$AL,0))</f>
        <v>#N/A</v>
      </c>
      <c r="H379" t="e">
        <f>INDEX(Data!AA:AA,MATCH($P379,Data!$AL:$AL,0))</f>
        <v>#N/A</v>
      </c>
      <c r="I379" t="e">
        <f>INDEX(Data!AB:AB,MATCH($P379,Data!$AL:$AL,0))</f>
        <v>#N/A</v>
      </c>
      <c r="J379" t="e">
        <f>INDEX(Data!V:V,MATCH($P379,Data!$AL:$AL,0))</f>
        <v>#N/A</v>
      </c>
      <c r="K379" t="e">
        <f>INDEX(Data!W:W,MATCH($P379,Data!$AL:$AL,0))</f>
        <v>#N/A</v>
      </c>
      <c r="L379" t="e">
        <f>INDEX(Data!X:X,MATCH($P379,Data!$AL:$AL,0))</f>
        <v>#N/A</v>
      </c>
      <c r="M379" t="e">
        <f>INDEX(Data!AD:AD,MATCH($P379,Data!$AL:$AL,0))</f>
        <v>#N/A</v>
      </c>
      <c r="N379" t="e">
        <f>INDEX(Data!AF:AF,MATCH($P379,Data!$AL:$AL,0))</f>
        <v>#N/A</v>
      </c>
      <c r="O379" t="e">
        <f>INDEX(Data!Q:Q,MATCH($P379,Data!$AL:$AL,0))</f>
        <v>#N/A</v>
      </c>
      <c r="Q379" s="3" t="str">
        <f t="shared" si="6"/>
        <v>SPCL</v>
      </c>
    </row>
    <row r="380" spans="1:17" x14ac:dyDescent="0.25">
      <c r="A380" s="4">
        <v>387</v>
      </c>
      <c r="B380" s="217" t="s">
        <v>44</v>
      </c>
      <c r="C380" s="8">
        <f>INDEX(Data!M:M,MATCH(Q380,Data!AM:AM,0))</f>
        <v>0</v>
      </c>
      <c r="D380" s="8">
        <f>INDEX(Data!O:O,MATCH(Q380,Data!AM:AM,0))</f>
        <v>0</v>
      </c>
      <c r="E380" s="1" t="e">
        <f>INDEX(Data!T:T,MATCH($P380,Data!$AL:$AL,0))</f>
        <v>#N/A</v>
      </c>
      <c r="F380" s="1" t="e">
        <f>INDEX(Data!P:P,MATCH($P380,Data!$AL:$AL,0))</f>
        <v>#N/A</v>
      </c>
      <c r="G380" s="1" t="e">
        <f>INDEX(Data!Z:Z,MATCH($P380,Data!$AL:$AL,0))</f>
        <v>#N/A</v>
      </c>
      <c r="H380" s="1" t="e">
        <f>INDEX(Data!AA:AA,MATCH($P380,Data!$AL:$AL,0))</f>
        <v>#N/A</v>
      </c>
      <c r="I380" s="1" t="e">
        <f>INDEX(Data!AB:AB,MATCH($P380,Data!$AL:$AL,0))</f>
        <v>#N/A</v>
      </c>
      <c r="J380" s="1" t="e">
        <f>INDEX(Data!V:V,MATCH($P380,Data!$AL:$AL,0))</f>
        <v>#N/A</v>
      </c>
      <c r="K380" s="1" t="e">
        <f>INDEX(Data!W:W,MATCH($P380,Data!$AL:$AL,0))</f>
        <v>#N/A</v>
      </c>
      <c r="L380" s="1" t="e">
        <f>INDEX(Data!X:X,MATCH($P380,Data!$AL:$AL,0))</f>
        <v>#N/A</v>
      </c>
      <c r="M380" s="1" t="e">
        <f>INDEX(Data!AD:AD,MATCH($P380,Data!$AL:$AL,0))</f>
        <v>#N/A</v>
      </c>
      <c r="N380" s="1" t="e">
        <f>INDEX(Data!AF:AF,MATCH($P380,Data!$AL:$AL,0))</f>
        <v>#N/A</v>
      </c>
      <c r="O380" s="1" t="e">
        <f>INDEX(Data!Q:Q,MATCH($P380,Data!$AL:$AL,0))</f>
        <v>#N/A</v>
      </c>
      <c r="P380" s="1"/>
      <c r="Q380" s="4" t="str">
        <f t="shared" si="6"/>
        <v>SPACL</v>
      </c>
    </row>
    <row r="381" spans="1:17" x14ac:dyDescent="0.25">
      <c r="A381" s="3">
        <v>388</v>
      </c>
      <c r="B381" s="218" t="s">
        <v>40</v>
      </c>
      <c r="C381" s="6">
        <f>INDEX(Data!M:M,MATCH(Q381,Data!AM:AM,0))</f>
        <v>0</v>
      </c>
      <c r="D381" s="6">
        <f>INDEX(Data!O:O,MATCH(Q381,Data!AM:AM,0))</f>
        <v>0</v>
      </c>
      <c r="E381" s="2" t="e">
        <f>INDEX(Data!T:T,MATCH($P381,Data!$AL:$AL,0))</f>
        <v>#N/A</v>
      </c>
      <c r="F381" s="2" t="e">
        <f>INDEX(Data!P:P,MATCH($P381,Data!$AL:$AL,0))</f>
        <v>#N/A</v>
      </c>
      <c r="G381" s="2" t="e">
        <f>INDEX(Data!Z:Z,MATCH($P381,Data!$AL:$AL,0))</f>
        <v>#N/A</v>
      </c>
      <c r="H381" s="2" t="e">
        <f>INDEX(Data!AA:AA,MATCH($P381,Data!$AL:$AL,0))</f>
        <v>#N/A</v>
      </c>
      <c r="I381" s="2" t="e">
        <f>INDEX(Data!AB:AB,MATCH($P381,Data!$AL:$AL,0))</f>
        <v>#N/A</v>
      </c>
      <c r="J381" s="2" t="e">
        <f>INDEX(Data!V:V,MATCH($P381,Data!$AL:$AL,0))</f>
        <v>#N/A</v>
      </c>
      <c r="K381" s="2" t="e">
        <f>INDEX(Data!W:W,MATCH($P381,Data!$AL:$AL,0))</f>
        <v>#N/A</v>
      </c>
      <c r="L381" s="2" t="e">
        <f>INDEX(Data!X:X,MATCH($P381,Data!$AL:$AL,0))</f>
        <v>#N/A</v>
      </c>
      <c r="M381" s="2" t="e">
        <f>INDEX(Data!AD:AD,MATCH($P381,Data!$AL:$AL,0))</f>
        <v>#N/A</v>
      </c>
      <c r="N381" s="2" t="e">
        <f>INDEX(Data!AF:AF,MATCH($P381,Data!$AL:$AL,0))</f>
        <v>#N/A</v>
      </c>
      <c r="O381" s="2" t="e">
        <f>INDEX(Data!Q:Q,MATCH($P381,Data!$AL:$AL,0))</f>
        <v>#N/A</v>
      </c>
      <c r="Q381" s="3" t="str">
        <f t="shared" si="6"/>
        <v>NCL</v>
      </c>
    </row>
    <row r="382" spans="1:17" x14ac:dyDescent="0.25">
      <c r="A382" s="3">
        <v>389</v>
      </c>
      <c r="B382" s="216" t="s">
        <v>41</v>
      </c>
      <c r="C382" s="7">
        <f>INDEX(Data!M:M,MATCH(Q382,Data!AM:AM,0))</f>
        <v>0</v>
      </c>
      <c r="D382" s="7">
        <f>INDEX(Data!O:O,MATCH(Q382,Data!AM:AM,0))</f>
        <v>0</v>
      </c>
      <c r="E382" t="e">
        <f>INDEX(Data!T:T,MATCH($P382,Data!$AL:$AL,0))</f>
        <v>#N/A</v>
      </c>
      <c r="F382" t="e">
        <f>INDEX(Data!P:P,MATCH($P382,Data!$AL:$AL,0))</f>
        <v>#N/A</v>
      </c>
      <c r="G382" t="e">
        <f>INDEX(Data!Z:Z,MATCH($P382,Data!$AL:$AL,0))</f>
        <v>#N/A</v>
      </c>
      <c r="H382" t="e">
        <f>INDEX(Data!AA:AA,MATCH($P382,Data!$AL:$AL,0))</f>
        <v>#N/A</v>
      </c>
      <c r="I382" t="e">
        <f>INDEX(Data!AB:AB,MATCH($P382,Data!$AL:$AL,0))</f>
        <v>#N/A</v>
      </c>
      <c r="J382" t="e">
        <f>INDEX(Data!V:V,MATCH($P382,Data!$AL:$AL,0))</f>
        <v>#N/A</v>
      </c>
      <c r="K382" t="e">
        <f>INDEX(Data!W:W,MATCH($P382,Data!$AL:$AL,0))</f>
        <v>#N/A</v>
      </c>
      <c r="L382" t="e">
        <f>INDEX(Data!X:X,MATCH($P382,Data!$AL:$AL,0))</f>
        <v>#N/A</v>
      </c>
      <c r="M382" t="e">
        <f>INDEX(Data!AD:AD,MATCH($P382,Data!$AL:$AL,0))</f>
        <v>#N/A</v>
      </c>
      <c r="N382" t="e">
        <f>INDEX(Data!AF:AF,MATCH($P382,Data!$AL:$AL,0))</f>
        <v>#N/A</v>
      </c>
      <c r="O382" t="e">
        <f>INDEX(Data!Q:Q,MATCH($P382,Data!$AL:$AL,0))</f>
        <v>#N/A</v>
      </c>
      <c r="Q382" s="3" t="str">
        <f t="shared" si="6"/>
        <v>CL</v>
      </c>
    </row>
    <row r="383" spans="1:17" x14ac:dyDescent="0.25">
      <c r="A383" s="3">
        <v>390</v>
      </c>
      <c r="B383" s="216" t="s">
        <v>42</v>
      </c>
      <c r="C383" s="7">
        <f>INDEX(Data!M:M,MATCH(Q383,Data!AM:AM,0))</f>
        <v>0</v>
      </c>
      <c r="D383" s="7">
        <f>INDEX(Data!O:O,MATCH(Q383,Data!AM:AM,0))</f>
        <v>0</v>
      </c>
      <c r="E383" t="e">
        <f>INDEX(Data!T:T,MATCH($P383,Data!$AL:$AL,0))</f>
        <v>#N/A</v>
      </c>
      <c r="F383" t="e">
        <f>INDEX(Data!P:P,MATCH($P383,Data!$AL:$AL,0))</f>
        <v>#N/A</v>
      </c>
      <c r="G383" t="e">
        <f>INDEX(Data!Z:Z,MATCH($P383,Data!$AL:$AL,0))</f>
        <v>#N/A</v>
      </c>
      <c r="H383" t="e">
        <f>INDEX(Data!AA:AA,MATCH($P383,Data!$AL:$AL,0))</f>
        <v>#N/A</v>
      </c>
      <c r="I383" t="e">
        <f>INDEX(Data!AB:AB,MATCH($P383,Data!$AL:$AL,0))</f>
        <v>#N/A</v>
      </c>
      <c r="J383" t="e">
        <f>INDEX(Data!V:V,MATCH($P383,Data!$AL:$AL,0))</f>
        <v>#N/A</v>
      </c>
      <c r="K383" t="e">
        <f>INDEX(Data!W:W,MATCH($P383,Data!$AL:$AL,0))</f>
        <v>#N/A</v>
      </c>
      <c r="L383" t="e">
        <f>INDEX(Data!X:X,MATCH($P383,Data!$AL:$AL,0))</f>
        <v>#N/A</v>
      </c>
      <c r="M383" t="e">
        <f>INDEX(Data!AD:AD,MATCH($P383,Data!$AL:$AL,0))</f>
        <v>#N/A</v>
      </c>
      <c r="N383" t="e">
        <f>INDEX(Data!AF:AF,MATCH($P383,Data!$AL:$AL,0))</f>
        <v>#N/A</v>
      </c>
      <c r="O383" t="e">
        <f>INDEX(Data!Q:Q,MATCH($P383,Data!$AL:$AL,0))</f>
        <v>#N/A</v>
      </c>
      <c r="Q383" s="3" t="str">
        <f t="shared" si="6"/>
        <v>ACL</v>
      </c>
    </row>
    <row r="384" spans="1:17" x14ac:dyDescent="0.25">
      <c r="A384" s="3">
        <v>391</v>
      </c>
      <c r="B384" s="216" t="s">
        <v>43</v>
      </c>
      <c r="C384" s="7">
        <f>INDEX(Data!M:M,MATCH(Q384,Data!AM:AM,0))</f>
        <v>0</v>
      </c>
      <c r="D384" s="7">
        <f>INDEX(Data!O:O,MATCH(Q384,Data!AM:AM,0))</f>
        <v>0</v>
      </c>
      <c r="E384" t="e">
        <f>INDEX(Data!T:T,MATCH($P384,Data!$AL:$AL,0))</f>
        <v>#N/A</v>
      </c>
      <c r="F384" t="e">
        <f>INDEX(Data!P:P,MATCH($P384,Data!$AL:$AL,0))</f>
        <v>#N/A</v>
      </c>
      <c r="G384" t="e">
        <f>INDEX(Data!Z:Z,MATCH($P384,Data!$AL:$AL,0))</f>
        <v>#N/A</v>
      </c>
      <c r="H384" t="e">
        <f>INDEX(Data!AA:AA,MATCH($P384,Data!$AL:$AL,0))</f>
        <v>#N/A</v>
      </c>
      <c r="I384" t="e">
        <f>INDEX(Data!AB:AB,MATCH($P384,Data!$AL:$AL,0))</f>
        <v>#N/A</v>
      </c>
      <c r="J384" t="e">
        <f>INDEX(Data!V:V,MATCH($P384,Data!$AL:$AL,0))</f>
        <v>#N/A</v>
      </c>
      <c r="K384" t="e">
        <f>INDEX(Data!W:W,MATCH($P384,Data!$AL:$AL,0))</f>
        <v>#N/A</v>
      </c>
      <c r="L384" t="e">
        <f>INDEX(Data!X:X,MATCH($P384,Data!$AL:$AL,0))</f>
        <v>#N/A</v>
      </c>
      <c r="M384" t="e">
        <f>INDEX(Data!AD:AD,MATCH($P384,Data!$AL:$AL,0))</f>
        <v>#N/A</v>
      </c>
      <c r="N384" t="e">
        <f>INDEX(Data!AF:AF,MATCH($P384,Data!$AL:$AL,0))</f>
        <v>#N/A</v>
      </c>
      <c r="O384" t="e">
        <f>INDEX(Data!Q:Q,MATCH($P384,Data!$AL:$AL,0))</f>
        <v>#N/A</v>
      </c>
      <c r="Q384" s="3" t="str">
        <f t="shared" si="6"/>
        <v>SPCL</v>
      </c>
    </row>
    <row r="385" spans="1:17" x14ac:dyDescent="0.25">
      <c r="A385" s="4">
        <v>392</v>
      </c>
      <c r="B385" s="217" t="s">
        <v>44</v>
      </c>
      <c r="C385" s="8">
        <f>INDEX(Data!M:M,MATCH(Q385,Data!AM:AM,0))</f>
        <v>0</v>
      </c>
      <c r="D385" s="8">
        <f>INDEX(Data!O:O,MATCH(Q385,Data!AM:AM,0))</f>
        <v>0</v>
      </c>
      <c r="E385" s="1" t="e">
        <f>INDEX(Data!T:T,MATCH($P385,Data!$AL:$AL,0))</f>
        <v>#N/A</v>
      </c>
      <c r="F385" s="1" t="e">
        <f>INDEX(Data!P:P,MATCH($P385,Data!$AL:$AL,0))</f>
        <v>#N/A</v>
      </c>
      <c r="G385" s="1" t="e">
        <f>INDEX(Data!Z:Z,MATCH($P385,Data!$AL:$AL,0))</f>
        <v>#N/A</v>
      </c>
      <c r="H385" s="1" t="e">
        <f>INDEX(Data!AA:AA,MATCH($P385,Data!$AL:$AL,0))</f>
        <v>#N/A</v>
      </c>
      <c r="I385" s="1" t="e">
        <f>INDEX(Data!AB:AB,MATCH($P385,Data!$AL:$AL,0))</f>
        <v>#N/A</v>
      </c>
      <c r="J385" s="1" t="e">
        <f>INDEX(Data!V:V,MATCH($P385,Data!$AL:$AL,0))</f>
        <v>#N/A</v>
      </c>
      <c r="K385" s="1" t="e">
        <f>INDEX(Data!W:W,MATCH($P385,Data!$AL:$AL,0))</f>
        <v>#N/A</v>
      </c>
      <c r="L385" s="1" t="e">
        <f>INDEX(Data!X:X,MATCH($P385,Data!$AL:$AL,0))</f>
        <v>#N/A</v>
      </c>
      <c r="M385" s="1" t="e">
        <f>INDEX(Data!AD:AD,MATCH($P385,Data!$AL:$AL,0))</f>
        <v>#N/A</v>
      </c>
      <c r="N385" s="1" t="e">
        <f>INDEX(Data!AF:AF,MATCH($P385,Data!$AL:$AL,0))</f>
        <v>#N/A</v>
      </c>
      <c r="O385" s="1" t="e">
        <f>INDEX(Data!Q:Q,MATCH($P385,Data!$AL:$AL,0))</f>
        <v>#N/A</v>
      </c>
      <c r="P385" s="1"/>
      <c r="Q385" s="4" t="str">
        <f t="shared" si="6"/>
        <v>SPACL</v>
      </c>
    </row>
    <row r="386" spans="1:17" x14ac:dyDescent="0.25">
      <c r="A386" s="3">
        <v>393</v>
      </c>
      <c r="B386" s="218" t="s">
        <v>40</v>
      </c>
      <c r="C386" s="6">
        <f>INDEX(Data!M:M,MATCH(Q386,Data!AM:AM,0))</f>
        <v>0</v>
      </c>
      <c r="D386" s="6">
        <f>INDEX(Data!O:O,MATCH(Q386,Data!AM:AM,0))</f>
        <v>0</v>
      </c>
      <c r="E386" s="2" t="e">
        <f>INDEX(Data!T:T,MATCH($P386,Data!$AL:$AL,0))</f>
        <v>#N/A</v>
      </c>
      <c r="F386" s="2" t="e">
        <f>INDEX(Data!P:P,MATCH($P386,Data!$AL:$AL,0))</f>
        <v>#N/A</v>
      </c>
      <c r="G386" s="2" t="e">
        <f>INDEX(Data!Z:Z,MATCH($P386,Data!$AL:$AL,0))</f>
        <v>#N/A</v>
      </c>
      <c r="H386" s="2" t="e">
        <f>INDEX(Data!AA:AA,MATCH($P386,Data!$AL:$AL,0))</f>
        <v>#N/A</v>
      </c>
      <c r="I386" s="2" t="e">
        <f>INDEX(Data!AB:AB,MATCH($P386,Data!$AL:$AL,0))</f>
        <v>#N/A</v>
      </c>
      <c r="J386" s="2" t="e">
        <f>INDEX(Data!V:V,MATCH($P386,Data!$AL:$AL,0))</f>
        <v>#N/A</v>
      </c>
      <c r="K386" s="2" t="e">
        <f>INDEX(Data!W:W,MATCH($P386,Data!$AL:$AL,0))</f>
        <v>#N/A</v>
      </c>
      <c r="L386" s="2" t="e">
        <f>INDEX(Data!X:X,MATCH($P386,Data!$AL:$AL,0))</f>
        <v>#N/A</v>
      </c>
      <c r="M386" s="2" t="e">
        <f>INDEX(Data!AD:AD,MATCH($P386,Data!$AL:$AL,0))</f>
        <v>#N/A</v>
      </c>
      <c r="N386" s="2" t="e">
        <f>INDEX(Data!AF:AF,MATCH($P386,Data!$AL:$AL,0))</f>
        <v>#N/A</v>
      </c>
      <c r="O386" s="2" t="e">
        <f>INDEX(Data!Q:Q,MATCH($P386,Data!$AL:$AL,0))</f>
        <v>#N/A</v>
      </c>
      <c r="Q386" s="3" t="str">
        <f t="shared" si="6"/>
        <v>NCL</v>
      </c>
    </row>
    <row r="387" spans="1:17" x14ac:dyDescent="0.25">
      <c r="A387" s="3">
        <v>394</v>
      </c>
      <c r="B387" s="216" t="s">
        <v>41</v>
      </c>
      <c r="C387" s="7">
        <f>INDEX(Data!M:M,MATCH(Q387,Data!AM:AM,0))</f>
        <v>0</v>
      </c>
      <c r="D387" s="7">
        <f>INDEX(Data!O:O,MATCH(Q387,Data!AM:AM,0))</f>
        <v>0</v>
      </c>
      <c r="E387" t="e">
        <f>INDEX(Data!T:T,MATCH($P387,Data!$AL:$AL,0))</f>
        <v>#N/A</v>
      </c>
      <c r="F387" t="e">
        <f>INDEX(Data!P:P,MATCH($P387,Data!$AL:$AL,0))</f>
        <v>#N/A</v>
      </c>
      <c r="G387" t="e">
        <f>INDEX(Data!Z:Z,MATCH($P387,Data!$AL:$AL,0))</f>
        <v>#N/A</v>
      </c>
      <c r="H387" t="e">
        <f>INDEX(Data!AA:AA,MATCH($P387,Data!$AL:$AL,0))</f>
        <v>#N/A</v>
      </c>
      <c r="I387" t="e">
        <f>INDEX(Data!AB:AB,MATCH($P387,Data!$AL:$AL,0))</f>
        <v>#N/A</v>
      </c>
      <c r="J387" t="e">
        <f>INDEX(Data!V:V,MATCH($P387,Data!$AL:$AL,0))</f>
        <v>#N/A</v>
      </c>
      <c r="K387" t="e">
        <f>INDEX(Data!W:W,MATCH($P387,Data!$AL:$AL,0))</f>
        <v>#N/A</v>
      </c>
      <c r="L387" t="e">
        <f>INDEX(Data!X:X,MATCH($P387,Data!$AL:$AL,0))</f>
        <v>#N/A</v>
      </c>
      <c r="M387" t="e">
        <f>INDEX(Data!AD:AD,MATCH($P387,Data!$AL:$AL,0))</f>
        <v>#N/A</v>
      </c>
      <c r="N387" t="e">
        <f>INDEX(Data!AF:AF,MATCH($P387,Data!$AL:$AL,0))</f>
        <v>#N/A</v>
      </c>
      <c r="O387" t="e">
        <f>INDEX(Data!Q:Q,MATCH($P387,Data!$AL:$AL,0))</f>
        <v>#N/A</v>
      </c>
      <c r="Q387" s="3" t="str">
        <f t="shared" si="6"/>
        <v>CL</v>
      </c>
    </row>
    <row r="388" spans="1:17" x14ac:dyDescent="0.25">
      <c r="A388" s="3">
        <v>395</v>
      </c>
      <c r="B388" s="216" t="s">
        <v>42</v>
      </c>
      <c r="C388" s="7">
        <f>INDEX(Data!M:M,MATCH(Q388,Data!AM:AM,0))</f>
        <v>0</v>
      </c>
      <c r="D388" s="7">
        <f>INDEX(Data!O:O,MATCH(Q388,Data!AM:AM,0))</f>
        <v>0</v>
      </c>
      <c r="E388" t="e">
        <f>INDEX(Data!T:T,MATCH($P388,Data!$AL:$AL,0))</f>
        <v>#N/A</v>
      </c>
      <c r="F388" t="e">
        <f>INDEX(Data!P:P,MATCH($P388,Data!$AL:$AL,0))</f>
        <v>#N/A</v>
      </c>
      <c r="G388" t="e">
        <f>INDEX(Data!Z:Z,MATCH($P388,Data!$AL:$AL,0))</f>
        <v>#N/A</v>
      </c>
      <c r="H388" t="e">
        <f>INDEX(Data!AA:AA,MATCH($P388,Data!$AL:$AL,0))</f>
        <v>#N/A</v>
      </c>
      <c r="I388" t="e">
        <f>INDEX(Data!AB:AB,MATCH($P388,Data!$AL:$AL,0))</f>
        <v>#N/A</v>
      </c>
      <c r="J388" t="e">
        <f>INDEX(Data!V:V,MATCH($P388,Data!$AL:$AL,0))</f>
        <v>#N/A</v>
      </c>
      <c r="K388" t="e">
        <f>INDEX(Data!W:W,MATCH($P388,Data!$AL:$AL,0))</f>
        <v>#N/A</v>
      </c>
      <c r="L388" t="e">
        <f>INDEX(Data!X:X,MATCH($P388,Data!$AL:$AL,0))</f>
        <v>#N/A</v>
      </c>
      <c r="M388" t="e">
        <f>INDEX(Data!AD:AD,MATCH($P388,Data!$AL:$AL,0))</f>
        <v>#N/A</v>
      </c>
      <c r="N388" t="e">
        <f>INDEX(Data!AF:AF,MATCH($P388,Data!$AL:$AL,0))</f>
        <v>#N/A</v>
      </c>
      <c r="O388" t="e">
        <f>INDEX(Data!Q:Q,MATCH($P388,Data!$AL:$AL,0))</f>
        <v>#N/A</v>
      </c>
      <c r="Q388" s="3" t="str">
        <f t="shared" si="6"/>
        <v>ACL</v>
      </c>
    </row>
    <row r="389" spans="1:17" x14ac:dyDescent="0.25">
      <c r="A389" s="3">
        <v>396</v>
      </c>
      <c r="B389" s="216" t="s">
        <v>43</v>
      </c>
      <c r="C389" s="7">
        <f>INDEX(Data!M:M,MATCH(Q389,Data!AM:AM,0))</f>
        <v>0</v>
      </c>
      <c r="D389" s="7">
        <f>INDEX(Data!O:O,MATCH(Q389,Data!AM:AM,0))</f>
        <v>0</v>
      </c>
      <c r="E389" t="e">
        <f>INDEX(Data!T:T,MATCH($P389,Data!$AL:$AL,0))</f>
        <v>#N/A</v>
      </c>
      <c r="F389" t="e">
        <f>INDEX(Data!P:P,MATCH($P389,Data!$AL:$AL,0))</f>
        <v>#N/A</v>
      </c>
      <c r="G389" t="e">
        <f>INDEX(Data!Z:Z,MATCH($P389,Data!$AL:$AL,0))</f>
        <v>#N/A</v>
      </c>
      <c r="H389" t="e">
        <f>INDEX(Data!AA:AA,MATCH($P389,Data!$AL:$AL,0))</f>
        <v>#N/A</v>
      </c>
      <c r="I389" t="e">
        <f>INDEX(Data!AB:AB,MATCH($P389,Data!$AL:$AL,0))</f>
        <v>#N/A</v>
      </c>
      <c r="J389" t="e">
        <f>INDEX(Data!V:V,MATCH($P389,Data!$AL:$AL,0))</f>
        <v>#N/A</v>
      </c>
      <c r="K389" t="e">
        <f>INDEX(Data!W:W,MATCH($P389,Data!$AL:$AL,0))</f>
        <v>#N/A</v>
      </c>
      <c r="L389" t="e">
        <f>INDEX(Data!X:X,MATCH($P389,Data!$AL:$AL,0))</f>
        <v>#N/A</v>
      </c>
      <c r="M389" t="e">
        <f>INDEX(Data!AD:AD,MATCH($P389,Data!$AL:$AL,0))</f>
        <v>#N/A</v>
      </c>
      <c r="N389" t="e">
        <f>INDEX(Data!AF:AF,MATCH($P389,Data!$AL:$AL,0))</f>
        <v>#N/A</v>
      </c>
      <c r="O389" t="e">
        <f>INDEX(Data!Q:Q,MATCH($P389,Data!$AL:$AL,0))</f>
        <v>#N/A</v>
      </c>
      <c r="Q389" s="3" t="str">
        <f t="shared" si="6"/>
        <v>SPCL</v>
      </c>
    </row>
    <row r="390" spans="1:17" x14ac:dyDescent="0.25">
      <c r="A390" s="4">
        <v>397</v>
      </c>
      <c r="B390" s="217" t="s">
        <v>44</v>
      </c>
      <c r="C390" s="8">
        <f>INDEX(Data!M:M,MATCH(Q390,Data!AM:AM,0))</f>
        <v>0</v>
      </c>
      <c r="D390" s="8">
        <f>INDEX(Data!O:O,MATCH(Q390,Data!AM:AM,0))</f>
        <v>0</v>
      </c>
      <c r="E390" s="1" t="e">
        <f>INDEX(Data!T:T,MATCH($P390,Data!$AL:$AL,0))</f>
        <v>#N/A</v>
      </c>
      <c r="F390" s="1" t="e">
        <f>INDEX(Data!P:P,MATCH($P390,Data!$AL:$AL,0))</f>
        <v>#N/A</v>
      </c>
      <c r="G390" s="1" t="e">
        <f>INDEX(Data!Z:Z,MATCH($P390,Data!$AL:$AL,0))</f>
        <v>#N/A</v>
      </c>
      <c r="H390" s="1" t="e">
        <f>INDEX(Data!AA:AA,MATCH($P390,Data!$AL:$AL,0))</f>
        <v>#N/A</v>
      </c>
      <c r="I390" s="1" t="e">
        <f>INDEX(Data!AB:AB,MATCH($P390,Data!$AL:$AL,0))</f>
        <v>#N/A</v>
      </c>
      <c r="J390" s="1" t="e">
        <f>INDEX(Data!V:V,MATCH($P390,Data!$AL:$AL,0))</f>
        <v>#N/A</v>
      </c>
      <c r="K390" s="1" t="e">
        <f>INDEX(Data!W:W,MATCH($P390,Data!$AL:$AL,0))</f>
        <v>#N/A</v>
      </c>
      <c r="L390" s="1" t="e">
        <f>INDEX(Data!X:X,MATCH($P390,Data!$AL:$AL,0))</f>
        <v>#N/A</v>
      </c>
      <c r="M390" s="1" t="e">
        <f>INDEX(Data!AD:AD,MATCH($P390,Data!$AL:$AL,0))</f>
        <v>#N/A</v>
      </c>
      <c r="N390" s="1" t="e">
        <f>INDEX(Data!AF:AF,MATCH($P390,Data!$AL:$AL,0))</f>
        <v>#N/A</v>
      </c>
      <c r="O390" s="1" t="e">
        <f>INDEX(Data!Q:Q,MATCH($P390,Data!$AL:$AL,0))</f>
        <v>#N/A</v>
      </c>
      <c r="P390" s="1"/>
      <c r="Q390" s="4" t="str">
        <f t="shared" si="6"/>
        <v>SPACL</v>
      </c>
    </row>
    <row r="391" spans="1:17" x14ac:dyDescent="0.25">
      <c r="A391" s="3">
        <v>398</v>
      </c>
      <c r="B391" s="218" t="s">
        <v>40</v>
      </c>
      <c r="C391" s="6">
        <f>INDEX(Data!M:M,MATCH(Q391,Data!AM:AM,0))</f>
        <v>0</v>
      </c>
      <c r="D391" s="6">
        <f>INDEX(Data!O:O,MATCH(Q391,Data!AM:AM,0))</f>
        <v>0</v>
      </c>
      <c r="E391" s="2" t="e">
        <f>INDEX(Data!T:T,MATCH($P391,Data!$AL:$AL,0))</f>
        <v>#N/A</v>
      </c>
      <c r="F391" s="2" t="e">
        <f>INDEX(Data!P:P,MATCH($P391,Data!$AL:$AL,0))</f>
        <v>#N/A</v>
      </c>
      <c r="G391" s="2" t="e">
        <f>INDEX(Data!Z:Z,MATCH($P391,Data!$AL:$AL,0))</f>
        <v>#N/A</v>
      </c>
      <c r="H391" s="2" t="e">
        <f>INDEX(Data!AA:AA,MATCH($P391,Data!$AL:$AL,0))</f>
        <v>#N/A</v>
      </c>
      <c r="I391" s="2" t="e">
        <f>INDEX(Data!AB:AB,MATCH($P391,Data!$AL:$AL,0))</f>
        <v>#N/A</v>
      </c>
      <c r="J391" s="2" t="e">
        <f>INDEX(Data!V:V,MATCH($P391,Data!$AL:$AL,0))</f>
        <v>#N/A</v>
      </c>
      <c r="K391" s="2" t="e">
        <f>INDEX(Data!W:W,MATCH($P391,Data!$AL:$AL,0))</f>
        <v>#N/A</v>
      </c>
      <c r="L391" s="2" t="e">
        <f>INDEX(Data!X:X,MATCH($P391,Data!$AL:$AL,0))</f>
        <v>#N/A</v>
      </c>
      <c r="M391" s="2" t="e">
        <f>INDEX(Data!AD:AD,MATCH($P391,Data!$AL:$AL,0))</f>
        <v>#N/A</v>
      </c>
      <c r="N391" s="2" t="e">
        <f>INDEX(Data!AF:AF,MATCH($P391,Data!$AL:$AL,0))</f>
        <v>#N/A</v>
      </c>
      <c r="O391" s="2" t="e">
        <f>INDEX(Data!Q:Q,MATCH($P391,Data!$AL:$AL,0))</f>
        <v>#N/A</v>
      </c>
      <c r="Q391" s="3" t="str">
        <f t="shared" si="6"/>
        <v>NCL</v>
      </c>
    </row>
    <row r="392" spans="1:17" x14ac:dyDescent="0.25">
      <c r="A392" s="3">
        <v>399</v>
      </c>
      <c r="B392" s="216" t="s">
        <v>41</v>
      </c>
      <c r="C392" s="7">
        <f>INDEX(Data!M:M,MATCH(Q392,Data!AM:AM,0))</f>
        <v>0</v>
      </c>
      <c r="D392" s="7">
        <f>INDEX(Data!O:O,MATCH(Q392,Data!AM:AM,0))</f>
        <v>0</v>
      </c>
      <c r="E392" t="e">
        <f>INDEX(Data!T:T,MATCH($P392,Data!$AL:$AL,0))</f>
        <v>#N/A</v>
      </c>
      <c r="F392" t="e">
        <f>INDEX(Data!P:P,MATCH($P392,Data!$AL:$AL,0))</f>
        <v>#N/A</v>
      </c>
      <c r="G392" t="e">
        <f>INDEX(Data!Z:Z,MATCH($P392,Data!$AL:$AL,0))</f>
        <v>#N/A</v>
      </c>
      <c r="H392" t="e">
        <f>INDEX(Data!AA:AA,MATCH($P392,Data!$AL:$AL,0))</f>
        <v>#N/A</v>
      </c>
      <c r="I392" t="e">
        <f>INDEX(Data!AB:AB,MATCH($P392,Data!$AL:$AL,0))</f>
        <v>#N/A</v>
      </c>
      <c r="J392" t="e">
        <f>INDEX(Data!V:V,MATCH($P392,Data!$AL:$AL,0))</f>
        <v>#N/A</v>
      </c>
      <c r="K392" t="e">
        <f>INDEX(Data!W:W,MATCH($P392,Data!$AL:$AL,0))</f>
        <v>#N/A</v>
      </c>
      <c r="L392" t="e">
        <f>INDEX(Data!X:X,MATCH($P392,Data!$AL:$AL,0))</f>
        <v>#N/A</v>
      </c>
      <c r="M392" t="e">
        <f>INDEX(Data!AD:AD,MATCH($P392,Data!$AL:$AL,0))</f>
        <v>#N/A</v>
      </c>
      <c r="N392" t="e">
        <f>INDEX(Data!AF:AF,MATCH($P392,Data!$AL:$AL,0))</f>
        <v>#N/A</v>
      </c>
      <c r="O392" t="e">
        <f>INDEX(Data!Q:Q,MATCH($P392,Data!$AL:$AL,0))</f>
        <v>#N/A</v>
      </c>
      <c r="Q392" s="3" t="str">
        <f t="shared" si="6"/>
        <v>CL</v>
      </c>
    </row>
    <row r="393" spans="1:17" x14ac:dyDescent="0.25">
      <c r="A393" s="3">
        <v>400</v>
      </c>
      <c r="B393" s="216" t="s">
        <v>42</v>
      </c>
      <c r="C393" s="7">
        <f>INDEX(Data!M:M,MATCH(Q393,Data!AM:AM,0))</f>
        <v>0</v>
      </c>
      <c r="D393" s="7">
        <f>INDEX(Data!O:O,MATCH(Q393,Data!AM:AM,0))</f>
        <v>0</v>
      </c>
      <c r="E393" t="e">
        <f>INDEX(Data!T:T,MATCH($P393,Data!$AL:$AL,0))</f>
        <v>#N/A</v>
      </c>
      <c r="F393" t="e">
        <f>INDEX(Data!P:P,MATCH($P393,Data!$AL:$AL,0))</f>
        <v>#N/A</v>
      </c>
      <c r="G393" t="e">
        <f>INDEX(Data!Z:Z,MATCH($P393,Data!$AL:$AL,0))</f>
        <v>#N/A</v>
      </c>
      <c r="H393" t="e">
        <f>INDEX(Data!AA:AA,MATCH($P393,Data!$AL:$AL,0))</f>
        <v>#N/A</v>
      </c>
      <c r="I393" t="e">
        <f>INDEX(Data!AB:AB,MATCH($P393,Data!$AL:$AL,0))</f>
        <v>#N/A</v>
      </c>
      <c r="J393" t="e">
        <f>INDEX(Data!V:V,MATCH($P393,Data!$AL:$AL,0))</f>
        <v>#N/A</v>
      </c>
      <c r="K393" t="e">
        <f>INDEX(Data!W:W,MATCH($P393,Data!$AL:$AL,0))</f>
        <v>#N/A</v>
      </c>
      <c r="L393" t="e">
        <f>INDEX(Data!X:X,MATCH($P393,Data!$AL:$AL,0))</f>
        <v>#N/A</v>
      </c>
      <c r="M393" t="e">
        <f>INDEX(Data!AD:AD,MATCH($P393,Data!$AL:$AL,0))</f>
        <v>#N/A</v>
      </c>
      <c r="N393" t="e">
        <f>INDEX(Data!AF:AF,MATCH($P393,Data!$AL:$AL,0))</f>
        <v>#N/A</v>
      </c>
      <c r="O393" t="e">
        <f>INDEX(Data!Q:Q,MATCH($P393,Data!$AL:$AL,0))</f>
        <v>#N/A</v>
      </c>
      <c r="Q393" s="3" t="str">
        <f t="shared" si="6"/>
        <v>ACL</v>
      </c>
    </row>
    <row r="394" spans="1:17" x14ac:dyDescent="0.25">
      <c r="A394" s="3">
        <v>401</v>
      </c>
      <c r="B394" s="216" t="s">
        <v>43</v>
      </c>
      <c r="C394" s="7">
        <f>INDEX(Data!M:M,MATCH(Q394,Data!AM:AM,0))</f>
        <v>0</v>
      </c>
      <c r="D394" s="7">
        <f>INDEX(Data!O:O,MATCH(Q394,Data!AM:AM,0))</f>
        <v>0</v>
      </c>
      <c r="E394" t="e">
        <f>INDEX(Data!T:T,MATCH($P394,Data!$AL:$AL,0))</f>
        <v>#N/A</v>
      </c>
      <c r="F394" t="e">
        <f>INDEX(Data!P:P,MATCH($P394,Data!$AL:$AL,0))</f>
        <v>#N/A</v>
      </c>
      <c r="G394" t="e">
        <f>INDEX(Data!Z:Z,MATCH($P394,Data!$AL:$AL,0))</f>
        <v>#N/A</v>
      </c>
      <c r="H394" t="e">
        <f>INDEX(Data!AA:AA,MATCH($P394,Data!$AL:$AL,0))</f>
        <v>#N/A</v>
      </c>
      <c r="I394" t="e">
        <f>INDEX(Data!AB:AB,MATCH($P394,Data!$AL:$AL,0))</f>
        <v>#N/A</v>
      </c>
      <c r="J394" t="e">
        <f>INDEX(Data!V:V,MATCH($P394,Data!$AL:$AL,0))</f>
        <v>#N/A</v>
      </c>
      <c r="K394" t="e">
        <f>INDEX(Data!W:W,MATCH($P394,Data!$AL:$AL,0))</f>
        <v>#N/A</v>
      </c>
      <c r="L394" t="e">
        <f>INDEX(Data!X:X,MATCH($P394,Data!$AL:$AL,0))</f>
        <v>#N/A</v>
      </c>
      <c r="M394" t="e">
        <f>INDEX(Data!AD:AD,MATCH($P394,Data!$AL:$AL,0))</f>
        <v>#N/A</v>
      </c>
      <c r="N394" t="e">
        <f>INDEX(Data!AF:AF,MATCH($P394,Data!$AL:$AL,0))</f>
        <v>#N/A</v>
      </c>
      <c r="O394" t="e">
        <f>INDEX(Data!Q:Q,MATCH($P394,Data!$AL:$AL,0))</f>
        <v>#N/A</v>
      </c>
      <c r="Q394" s="3" t="str">
        <f t="shared" si="6"/>
        <v>SPCL</v>
      </c>
    </row>
    <row r="395" spans="1:17" x14ac:dyDescent="0.25">
      <c r="A395" s="4">
        <v>402</v>
      </c>
      <c r="B395" s="217" t="s">
        <v>44</v>
      </c>
      <c r="C395" s="8">
        <f>INDEX(Data!M:M,MATCH(Q395,Data!AM:AM,0))</f>
        <v>0</v>
      </c>
      <c r="D395" s="8">
        <f>INDEX(Data!O:O,MATCH(Q395,Data!AM:AM,0))</f>
        <v>0</v>
      </c>
      <c r="E395" s="1" t="e">
        <f>INDEX(Data!T:T,MATCH($P395,Data!$AL:$AL,0))</f>
        <v>#N/A</v>
      </c>
      <c r="F395" s="1" t="e">
        <f>INDEX(Data!P:P,MATCH($P395,Data!$AL:$AL,0))</f>
        <v>#N/A</v>
      </c>
      <c r="G395" s="1" t="e">
        <f>INDEX(Data!Z:Z,MATCH($P395,Data!$AL:$AL,0))</f>
        <v>#N/A</v>
      </c>
      <c r="H395" s="1" t="e">
        <f>INDEX(Data!AA:AA,MATCH($P395,Data!$AL:$AL,0))</f>
        <v>#N/A</v>
      </c>
      <c r="I395" s="1" t="e">
        <f>INDEX(Data!AB:AB,MATCH($P395,Data!$AL:$AL,0))</f>
        <v>#N/A</v>
      </c>
      <c r="J395" s="1" t="e">
        <f>INDEX(Data!V:V,MATCH($P395,Data!$AL:$AL,0))</f>
        <v>#N/A</v>
      </c>
      <c r="K395" s="1" t="e">
        <f>INDEX(Data!W:W,MATCH($P395,Data!$AL:$AL,0))</f>
        <v>#N/A</v>
      </c>
      <c r="L395" s="1" t="e">
        <f>INDEX(Data!X:X,MATCH($P395,Data!$AL:$AL,0))</f>
        <v>#N/A</v>
      </c>
      <c r="M395" s="1" t="e">
        <f>INDEX(Data!AD:AD,MATCH($P395,Data!$AL:$AL,0))</f>
        <v>#N/A</v>
      </c>
      <c r="N395" s="1" t="e">
        <f>INDEX(Data!AF:AF,MATCH($P395,Data!$AL:$AL,0))</f>
        <v>#N/A</v>
      </c>
      <c r="O395" s="1" t="e">
        <f>INDEX(Data!Q:Q,MATCH($P395,Data!$AL:$AL,0))</f>
        <v>#N/A</v>
      </c>
      <c r="P395" s="1"/>
      <c r="Q395" s="4" t="str">
        <f t="shared" si="6"/>
        <v>SPACL</v>
      </c>
    </row>
    <row r="396" spans="1:17" x14ac:dyDescent="0.25">
      <c r="A396" s="3">
        <v>403</v>
      </c>
      <c r="B396" s="218" t="s">
        <v>40</v>
      </c>
      <c r="C396" s="6">
        <f>INDEX(Data!M:M,MATCH(Q396,Data!AM:AM,0))</f>
        <v>0</v>
      </c>
      <c r="D396" s="6">
        <f>INDEX(Data!O:O,MATCH(Q396,Data!AM:AM,0))</f>
        <v>0</v>
      </c>
      <c r="E396" s="2" t="e">
        <f>INDEX(Data!T:T,MATCH($P396,Data!$AL:$AL,0))</f>
        <v>#N/A</v>
      </c>
      <c r="F396" s="2" t="e">
        <f>INDEX(Data!P:P,MATCH($P396,Data!$AL:$AL,0))</f>
        <v>#N/A</v>
      </c>
      <c r="G396" s="2" t="e">
        <f>INDEX(Data!Z:Z,MATCH($P396,Data!$AL:$AL,0))</f>
        <v>#N/A</v>
      </c>
      <c r="H396" s="2" t="e">
        <f>INDEX(Data!AA:AA,MATCH($P396,Data!$AL:$AL,0))</f>
        <v>#N/A</v>
      </c>
      <c r="I396" s="2" t="e">
        <f>INDEX(Data!AB:AB,MATCH($P396,Data!$AL:$AL,0))</f>
        <v>#N/A</v>
      </c>
      <c r="J396" s="2" t="e">
        <f>INDEX(Data!V:V,MATCH($P396,Data!$AL:$AL,0))</f>
        <v>#N/A</v>
      </c>
      <c r="K396" s="2" t="e">
        <f>INDEX(Data!W:W,MATCH($P396,Data!$AL:$AL,0))</f>
        <v>#N/A</v>
      </c>
      <c r="L396" s="2" t="e">
        <f>INDEX(Data!X:X,MATCH($P396,Data!$AL:$AL,0))</f>
        <v>#N/A</v>
      </c>
      <c r="M396" s="2" t="e">
        <f>INDEX(Data!AD:AD,MATCH($P396,Data!$AL:$AL,0))</f>
        <v>#N/A</v>
      </c>
      <c r="N396" s="2" t="e">
        <f>INDEX(Data!AF:AF,MATCH($P396,Data!$AL:$AL,0))</f>
        <v>#N/A</v>
      </c>
      <c r="O396" s="2" t="e">
        <f>INDEX(Data!Q:Q,MATCH($P396,Data!$AL:$AL,0))</f>
        <v>#N/A</v>
      </c>
      <c r="Q396" s="3" t="str">
        <f t="shared" si="6"/>
        <v>NCL</v>
      </c>
    </row>
    <row r="397" spans="1:17" x14ac:dyDescent="0.25">
      <c r="A397" s="3">
        <v>404</v>
      </c>
      <c r="B397" s="216" t="s">
        <v>41</v>
      </c>
      <c r="C397" s="7">
        <f>INDEX(Data!M:M,MATCH(Q397,Data!AM:AM,0))</f>
        <v>0</v>
      </c>
      <c r="D397" s="7">
        <f>INDEX(Data!O:O,MATCH(Q397,Data!AM:AM,0))</f>
        <v>0</v>
      </c>
      <c r="E397" t="e">
        <f>INDEX(Data!T:T,MATCH($P397,Data!$AL:$AL,0))</f>
        <v>#N/A</v>
      </c>
      <c r="F397" t="e">
        <f>INDEX(Data!P:P,MATCH($P397,Data!$AL:$AL,0))</f>
        <v>#N/A</v>
      </c>
      <c r="G397" t="e">
        <f>INDEX(Data!Z:Z,MATCH($P397,Data!$AL:$AL,0))</f>
        <v>#N/A</v>
      </c>
      <c r="H397" t="e">
        <f>INDEX(Data!AA:AA,MATCH($P397,Data!$AL:$AL,0))</f>
        <v>#N/A</v>
      </c>
      <c r="I397" t="e">
        <f>INDEX(Data!AB:AB,MATCH($P397,Data!$AL:$AL,0))</f>
        <v>#N/A</v>
      </c>
      <c r="J397" t="e">
        <f>INDEX(Data!V:V,MATCH($P397,Data!$AL:$AL,0))</f>
        <v>#N/A</v>
      </c>
      <c r="K397" t="e">
        <f>INDEX(Data!W:W,MATCH($P397,Data!$AL:$AL,0))</f>
        <v>#N/A</v>
      </c>
      <c r="L397" t="e">
        <f>INDEX(Data!X:X,MATCH($P397,Data!$AL:$AL,0))</f>
        <v>#N/A</v>
      </c>
      <c r="M397" t="e">
        <f>INDEX(Data!AD:AD,MATCH($P397,Data!$AL:$AL,0))</f>
        <v>#N/A</v>
      </c>
      <c r="N397" t="e">
        <f>INDEX(Data!AF:AF,MATCH($P397,Data!$AL:$AL,0))</f>
        <v>#N/A</v>
      </c>
      <c r="O397" t="e">
        <f>INDEX(Data!Q:Q,MATCH($P397,Data!$AL:$AL,0))</f>
        <v>#N/A</v>
      </c>
      <c r="Q397" s="3" t="str">
        <f t="shared" si="6"/>
        <v>CL</v>
      </c>
    </row>
    <row r="398" spans="1:17" x14ac:dyDescent="0.25">
      <c r="A398" s="3">
        <v>405</v>
      </c>
      <c r="B398" s="216" t="s">
        <v>42</v>
      </c>
      <c r="C398" s="7">
        <f>INDEX(Data!M:M,MATCH(Q398,Data!AM:AM,0))</f>
        <v>0</v>
      </c>
      <c r="D398" s="7">
        <f>INDEX(Data!O:O,MATCH(Q398,Data!AM:AM,0))</f>
        <v>0</v>
      </c>
      <c r="E398" t="e">
        <f>INDEX(Data!T:T,MATCH($P398,Data!$AL:$AL,0))</f>
        <v>#N/A</v>
      </c>
      <c r="F398" t="e">
        <f>INDEX(Data!P:P,MATCH($P398,Data!$AL:$AL,0))</f>
        <v>#N/A</v>
      </c>
      <c r="G398" t="e">
        <f>INDEX(Data!Z:Z,MATCH($P398,Data!$AL:$AL,0))</f>
        <v>#N/A</v>
      </c>
      <c r="H398" t="e">
        <f>INDEX(Data!AA:AA,MATCH($P398,Data!$AL:$AL,0))</f>
        <v>#N/A</v>
      </c>
      <c r="I398" t="e">
        <f>INDEX(Data!AB:AB,MATCH($P398,Data!$AL:$AL,0))</f>
        <v>#N/A</v>
      </c>
      <c r="J398" t="e">
        <f>INDEX(Data!V:V,MATCH($P398,Data!$AL:$AL,0))</f>
        <v>#N/A</v>
      </c>
      <c r="K398" t="e">
        <f>INDEX(Data!W:W,MATCH($P398,Data!$AL:$AL,0))</f>
        <v>#N/A</v>
      </c>
      <c r="L398" t="e">
        <f>INDEX(Data!X:X,MATCH($P398,Data!$AL:$AL,0))</f>
        <v>#N/A</v>
      </c>
      <c r="M398" t="e">
        <f>INDEX(Data!AD:AD,MATCH($P398,Data!$AL:$AL,0))</f>
        <v>#N/A</v>
      </c>
      <c r="N398" t="e">
        <f>INDEX(Data!AF:AF,MATCH($P398,Data!$AL:$AL,0))</f>
        <v>#N/A</v>
      </c>
      <c r="O398" t="e">
        <f>INDEX(Data!Q:Q,MATCH($P398,Data!$AL:$AL,0))</f>
        <v>#N/A</v>
      </c>
      <c r="Q398" s="3" t="str">
        <f t="shared" si="6"/>
        <v>ACL</v>
      </c>
    </row>
    <row r="399" spans="1:17" x14ac:dyDescent="0.25">
      <c r="A399" s="3">
        <v>406</v>
      </c>
      <c r="B399" s="216" t="s">
        <v>43</v>
      </c>
      <c r="C399" s="7">
        <f>INDEX(Data!M:M,MATCH(Q399,Data!AM:AM,0))</f>
        <v>0</v>
      </c>
      <c r="D399" s="7">
        <f>INDEX(Data!O:O,MATCH(Q399,Data!AM:AM,0))</f>
        <v>0</v>
      </c>
      <c r="E399" t="e">
        <f>INDEX(Data!T:T,MATCH($P399,Data!$AL:$AL,0))</f>
        <v>#N/A</v>
      </c>
      <c r="F399" t="e">
        <f>INDEX(Data!P:P,MATCH($P399,Data!$AL:$AL,0))</f>
        <v>#N/A</v>
      </c>
      <c r="G399" t="e">
        <f>INDEX(Data!Z:Z,MATCH($P399,Data!$AL:$AL,0))</f>
        <v>#N/A</v>
      </c>
      <c r="H399" t="e">
        <f>INDEX(Data!AA:AA,MATCH($P399,Data!$AL:$AL,0))</f>
        <v>#N/A</v>
      </c>
      <c r="I399" t="e">
        <f>INDEX(Data!AB:AB,MATCH($P399,Data!$AL:$AL,0))</f>
        <v>#N/A</v>
      </c>
      <c r="J399" t="e">
        <f>INDEX(Data!V:V,MATCH($P399,Data!$AL:$AL,0))</f>
        <v>#N/A</v>
      </c>
      <c r="K399" t="e">
        <f>INDEX(Data!W:W,MATCH($P399,Data!$AL:$AL,0))</f>
        <v>#N/A</v>
      </c>
      <c r="L399" t="e">
        <f>INDEX(Data!X:X,MATCH($P399,Data!$AL:$AL,0))</f>
        <v>#N/A</v>
      </c>
      <c r="M399" t="e">
        <f>INDEX(Data!AD:AD,MATCH($P399,Data!$AL:$AL,0))</f>
        <v>#N/A</v>
      </c>
      <c r="N399" t="e">
        <f>INDEX(Data!AF:AF,MATCH($P399,Data!$AL:$AL,0))</f>
        <v>#N/A</v>
      </c>
      <c r="O399" t="e">
        <f>INDEX(Data!Q:Q,MATCH($P399,Data!$AL:$AL,0))</f>
        <v>#N/A</v>
      </c>
      <c r="Q399" s="3" t="str">
        <f t="shared" si="6"/>
        <v>SPCL</v>
      </c>
    </row>
    <row r="400" spans="1:17" x14ac:dyDescent="0.25">
      <c r="A400" s="4">
        <v>407</v>
      </c>
      <c r="B400" s="217" t="s">
        <v>44</v>
      </c>
      <c r="C400" s="8">
        <f>INDEX(Data!M:M,MATCH(Q400,Data!AM:AM,0))</f>
        <v>0</v>
      </c>
      <c r="D400" s="8">
        <f>INDEX(Data!O:O,MATCH(Q400,Data!AM:AM,0))</f>
        <v>0</v>
      </c>
      <c r="E400" s="1" t="e">
        <f>INDEX(Data!T:T,MATCH($P400,Data!$AL:$AL,0))</f>
        <v>#N/A</v>
      </c>
      <c r="F400" s="1" t="e">
        <f>INDEX(Data!P:P,MATCH($P400,Data!$AL:$AL,0))</f>
        <v>#N/A</v>
      </c>
      <c r="G400" s="1" t="e">
        <f>INDEX(Data!Z:Z,MATCH($P400,Data!$AL:$AL,0))</f>
        <v>#N/A</v>
      </c>
      <c r="H400" s="1" t="e">
        <f>INDEX(Data!AA:AA,MATCH($P400,Data!$AL:$AL,0))</f>
        <v>#N/A</v>
      </c>
      <c r="I400" s="1" t="e">
        <f>INDEX(Data!AB:AB,MATCH($P400,Data!$AL:$AL,0))</f>
        <v>#N/A</v>
      </c>
      <c r="J400" s="1" t="e">
        <f>INDEX(Data!V:V,MATCH($P400,Data!$AL:$AL,0))</f>
        <v>#N/A</v>
      </c>
      <c r="K400" s="1" t="e">
        <f>INDEX(Data!W:W,MATCH($P400,Data!$AL:$AL,0))</f>
        <v>#N/A</v>
      </c>
      <c r="L400" s="1" t="e">
        <f>INDEX(Data!X:X,MATCH($P400,Data!$AL:$AL,0))</f>
        <v>#N/A</v>
      </c>
      <c r="M400" s="1" t="e">
        <f>INDEX(Data!AD:AD,MATCH($P400,Data!$AL:$AL,0))</f>
        <v>#N/A</v>
      </c>
      <c r="N400" s="1" t="e">
        <f>INDEX(Data!AF:AF,MATCH($P400,Data!$AL:$AL,0))</f>
        <v>#N/A</v>
      </c>
      <c r="O400" s="1" t="e">
        <f>INDEX(Data!Q:Q,MATCH($P400,Data!$AL:$AL,0))</f>
        <v>#N/A</v>
      </c>
      <c r="P400" s="1"/>
      <c r="Q400" s="4" t="str">
        <f t="shared" si="6"/>
        <v>SPACL</v>
      </c>
    </row>
    <row r="401" spans="1:17" x14ac:dyDescent="0.25">
      <c r="A401" s="3">
        <v>408</v>
      </c>
      <c r="B401" s="218" t="s">
        <v>40</v>
      </c>
      <c r="C401" s="6">
        <f>INDEX(Data!M:M,MATCH(Q401,Data!AM:AM,0))</f>
        <v>0</v>
      </c>
      <c r="D401" s="6">
        <f>INDEX(Data!O:O,MATCH(Q401,Data!AM:AM,0))</f>
        <v>0</v>
      </c>
      <c r="E401" s="2" t="e">
        <f>INDEX(Data!T:T,MATCH($P401,Data!$AL:$AL,0))</f>
        <v>#N/A</v>
      </c>
      <c r="F401" s="2" t="e">
        <f>INDEX(Data!P:P,MATCH($P401,Data!$AL:$AL,0))</f>
        <v>#N/A</v>
      </c>
      <c r="G401" s="2" t="e">
        <f>INDEX(Data!Z:Z,MATCH($P401,Data!$AL:$AL,0))</f>
        <v>#N/A</v>
      </c>
      <c r="H401" s="2" t="e">
        <f>INDEX(Data!AA:AA,MATCH($P401,Data!$AL:$AL,0))</f>
        <v>#N/A</v>
      </c>
      <c r="I401" s="2" t="e">
        <f>INDEX(Data!AB:AB,MATCH($P401,Data!$AL:$AL,0))</f>
        <v>#N/A</v>
      </c>
      <c r="J401" s="2" t="e">
        <f>INDEX(Data!V:V,MATCH($P401,Data!$AL:$AL,0))</f>
        <v>#N/A</v>
      </c>
      <c r="K401" s="2" t="e">
        <f>INDEX(Data!W:W,MATCH($P401,Data!$AL:$AL,0))</f>
        <v>#N/A</v>
      </c>
      <c r="L401" s="2" t="e">
        <f>INDEX(Data!X:X,MATCH($P401,Data!$AL:$AL,0))</f>
        <v>#N/A</v>
      </c>
      <c r="M401" s="2" t="e">
        <f>INDEX(Data!AD:AD,MATCH($P401,Data!$AL:$AL,0))</f>
        <v>#N/A</v>
      </c>
      <c r="N401" s="2" t="e">
        <f>INDEX(Data!AF:AF,MATCH($P401,Data!$AL:$AL,0))</f>
        <v>#N/A</v>
      </c>
      <c r="O401" s="2" t="e">
        <f>INDEX(Data!Q:Q,MATCH($P401,Data!$AL:$AL,0))</f>
        <v>#N/A</v>
      </c>
      <c r="Q401" s="3" t="str">
        <f t="shared" si="6"/>
        <v>NCL</v>
      </c>
    </row>
    <row r="402" spans="1:17" x14ac:dyDescent="0.25">
      <c r="A402" s="3">
        <v>409</v>
      </c>
      <c r="B402" s="216" t="s">
        <v>41</v>
      </c>
      <c r="C402" s="7">
        <f>INDEX(Data!M:M,MATCH(Q402,Data!AM:AM,0))</f>
        <v>0</v>
      </c>
      <c r="D402" s="7">
        <f>INDEX(Data!O:O,MATCH(Q402,Data!AM:AM,0))</f>
        <v>0</v>
      </c>
      <c r="E402" t="e">
        <f>INDEX(Data!T:T,MATCH($P402,Data!$AL:$AL,0))</f>
        <v>#N/A</v>
      </c>
      <c r="F402" t="e">
        <f>INDEX(Data!P:P,MATCH($P402,Data!$AL:$AL,0))</f>
        <v>#N/A</v>
      </c>
      <c r="G402" t="e">
        <f>INDEX(Data!Z:Z,MATCH($P402,Data!$AL:$AL,0))</f>
        <v>#N/A</v>
      </c>
      <c r="H402" t="e">
        <f>INDEX(Data!AA:AA,MATCH($P402,Data!$AL:$AL,0))</f>
        <v>#N/A</v>
      </c>
      <c r="I402" t="e">
        <f>INDEX(Data!AB:AB,MATCH($P402,Data!$AL:$AL,0))</f>
        <v>#N/A</v>
      </c>
      <c r="J402" t="e">
        <f>INDEX(Data!V:V,MATCH($P402,Data!$AL:$AL,0))</f>
        <v>#N/A</v>
      </c>
      <c r="K402" t="e">
        <f>INDEX(Data!W:W,MATCH($P402,Data!$AL:$AL,0))</f>
        <v>#N/A</v>
      </c>
      <c r="L402" t="e">
        <f>INDEX(Data!X:X,MATCH($P402,Data!$AL:$AL,0))</f>
        <v>#N/A</v>
      </c>
      <c r="M402" t="e">
        <f>INDEX(Data!AD:AD,MATCH($P402,Data!$AL:$AL,0))</f>
        <v>#N/A</v>
      </c>
      <c r="N402" t="e">
        <f>INDEX(Data!AF:AF,MATCH($P402,Data!$AL:$AL,0))</f>
        <v>#N/A</v>
      </c>
      <c r="O402" t="e">
        <f>INDEX(Data!Q:Q,MATCH($P402,Data!$AL:$AL,0))</f>
        <v>#N/A</v>
      </c>
      <c r="Q402" s="3" t="str">
        <f t="shared" si="6"/>
        <v>CL</v>
      </c>
    </row>
    <row r="403" spans="1:17" x14ac:dyDescent="0.25">
      <c r="A403" s="3">
        <v>410</v>
      </c>
      <c r="B403" s="216" t="s">
        <v>42</v>
      </c>
      <c r="C403" s="7">
        <f>INDEX(Data!M:M,MATCH(Q403,Data!AM:AM,0))</f>
        <v>0</v>
      </c>
      <c r="D403" s="7">
        <f>INDEX(Data!O:O,MATCH(Q403,Data!AM:AM,0))</f>
        <v>0</v>
      </c>
      <c r="E403" t="e">
        <f>INDEX(Data!T:T,MATCH($P403,Data!$AL:$AL,0))</f>
        <v>#N/A</v>
      </c>
      <c r="F403" t="e">
        <f>INDEX(Data!P:P,MATCH($P403,Data!$AL:$AL,0))</f>
        <v>#N/A</v>
      </c>
      <c r="G403" t="e">
        <f>INDEX(Data!Z:Z,MATCH($P403,Data!$AL:$AL,0))</f>
        <v>#N/A</v>
      </c>
      <c r="H403" t="e">
        <f>INDEX(Data!AA:AA,MATCH($P403,Data!$AL:$AL,0))</f>
        <v>#N/A</v>
      </c>
      <c r="I403" t="e">
        <f>INDEX(Data!AB:AB,MATCH($P403,Data!$AL:$AL,0))</f>
        <v>#N/A</v>
      </c>
      <c r="J403" t="e">
        <f>INDEX(Data!V:V,MATCH($P403,Data!$AL:$AL,0))</f>
        <v>#N/A</v>
      </c>
      <c r="K403" t="e">
        <f>INDEX(Data!W:W,MATCH($P403,Data!$AL:$AL,0))</f>
        <v>#N/A</v>
      </c>
      <c r="L403" t="e">
        <f>INDEX(Data!X:X,MATCH($P403,Data!$AL:$AL,0))</f>
        <v>#N/A</v>
      </c>
      <c r="M403" t="e">
        <f>INDEX(Data!AD:AD,MATCH($P403,Data!$AL:$AL,0))</f>
        <v>#N/A</v>
      </c>
      <c r="N403" t="e">
        <f>INDEX(Data!AF:AF,MATCH($P403,Data!$AL:$AL,0))</f>
        <v>#N/A</v>
      </c>
      <c r="O403" t="e">
        <f>INDEX(Data!Q:Q,MATCH($P403,Data!$AL:$AL,0))</f>
        <v>#N/A</v>
      </c>
      <c r="Q403" s="3" t="str">
        <f t="shared" si="6"/>
        <v>ACL</v>
      </c>
    </row>
    <row r="404" spans="1:17" x14ac:dyDescent="0.25">
      <c r="A404" s="3">
        <v>411</v>
      </c>
      <c r="B404" s="216" t="s">
        <v>43</v>
      </c>
      <c r="C404" s="7">
        <f>INDEX(Data!M:M,MATCH(Q404,Data!AM:AM,0))</f>
        <v>0</v>
      </c>
      <c r="D404" s="7">
        <f>INDEX(Data!O:O,MATCH(Q404,Data!AM:AM,0))</f>
        <v>0</v>
      </c>
      <c r="E404" t="e">
        <f>INDEX(Data!T:T,MATCH($P404,Data!$AL:$AL,0))</f>
        <v>#N/A</v>
      </c>
      <c r="F404" t="e">
        <f>INDEX(Data!P:P,MATCH($P404,Data!$AL:$AL,0))</f>
        <v>#N/A</v>
      </c>
      <c r="G404" t="e">
        <f>INDEX(Data!Z:Z,MATCH($P404,Data!$AL:$AL,0))</f>
        <v>#N/A</v>
      </c>
      <c r="H404" t="e">
        <f>INDEX(Data!AA:AA,MATCH($P404,Data!$AL:$AL,0))</f>
        <v>#N/A</v>
      </c>
      <c r="I404" t="e">
        <f>INDEX(Data!AB:AB,MATCH($P404,Data!$AL:$AL,0))</f>
        <v>#N/A</v>
      </c>
      <c r="J404" t="e">
        <f>INDEX(Data!V:V,MATCH($P404,Data!$AL:$AL,0))</f>
        <v>#N/A</v>
      </c>
      <c r="K404" t="e">
        <f>INDEX(Data!W:W,MATCH($P404,Data!$AL:$AL,0))</f>
        <v>#N/A</v>
      </c>
      <c r="L404" t="e">
        <f>INDEX(Data!X:X,MATCH($P404,Data!$AL:$AL,0))</f>
        <v>#N/A</v>
      </c>
      <c r="M404" t="e">
        <f>INDEX(Data!AD:AD,MATCH($P404,Data!$AL:$AL,0))</f>
        <v>#N/A</v>
      </c>
      <c r="N404" t="e">
        <f>INDEX(Data!AF:AF,MATCH($P404,Data!$AL:$AL,0))</f>
        <v>#N/A</v>
      </c>
      <c r="O404" t="e">
        <f>INDEX(Data!Q:Q,MATCH($P404,Data!$AL:$AL,0))</f>
        <v>#N/A</v>
      </c>
      <c r="Q404" s="3" t="str">
        <f t="shared" si="6"/>
        <v>SPCL</v>
      </c>
    </row>
    <row r="405" spans="1:17" x14ac:dyDescent="0.25">
      <c r="A405" s="4">
        <v>412</v>
      </c>
      <c r="B405" s="217" t="s">
        <v>44</v>
      </c>
      <c r="C405" s="8">
        <f>INDEX(Data!M:M,MATCH(Q405,Data!AM:AM,0))</f>
        <v>0</v>
      </c>
      <c r="D405" s="8">
        <f>INDEX(Data!O:O,MATCH(Q405,Data!AM:AM,0))</f>
        <v>0</v>
      </c>
      <c r="E405" s="1" t="e">
        <f>INDEX(Data!T:T,MATCH($P405,Data!$AL:$AL,0))</f>
        <v>#N/A</v>
      </c>
      <c r="F405" s="1" t="e">
        <f>INDEX(Data!P:P,MATCH($P405,Data!$AL:$AL,0))</f>
        <v>#N/A</v>
      </c>
      <c r="G405" s="1" t="e">
        <f>INDEX(Data!Z:Z,MATCH($P405,Data!$AL:$AL,0))</f>
        <v>#N/A</v>
      </c>
      <c r="H405" s="1" t="e">
        <f>INDEX(Data!AA:AA,MATCH($P405,Data!$AL:$AL,0))</f>
        <v>#N/A</v>
      </c>
      <c r="I405" s="1" t="e">
        <f>INDEX(Data!AB:AB,MATCH($P405,Data!$AL:$AL,0))</f>
        <v>#N/A</v>
      </c>
      <c r="J405" s="1" t="e">
        <f>INDEX(Data!V:V,MATCH($P405,Data!$AL:$AL,0))</f>
        <v>#N/A</v>
      </c>
      <c r="K405" s="1" t="e">
        <f>INDEX(Data!W:W,MATCH($P405,Data!$AL:$AL,0))</f>
        <v>#N/A</v>
      </c>
      <c r="L405" s="1" t="e">
        <f>INDEX(Data!X:X,MATCH($P405,Data!$AL:$AL,0))</f>
        <v>#N/A</v>
      </c>
      <c r="M405" s="1" t="e">
        <f>INDEX(Data!AD:AD,MATCH($P405,Data!$AL:$AL,0))</f>
        <v>#N/A</v>
      </c>
      <c r="N405" s="1" t="e">
        <f>INDEX(Data!AF:AF,MATCH($P405,Data!$AL:$AL,0))</f>
        <v>#N/A</v>
      </c>
      <c r="O405" s="1" t="e">
        <f>INDEX(Data!Q:Q,MATCH($P405,Data!$AL:$AL,0))</f>
        <v>#N/A</v>
      </c>
      <c r="P405" s="1"/>
      <c r="Q405" s="4" t="str">
        <f t="shared" si="6"/>
        <v>SPACL</v>
      </c>
    </row>
    <row r="406" spans="1:17" x14ac:dyDescent="0.25">
      <c r="A406" s="3">
        <v>413</v>
      </c>
      <c r="B406" s="218" t="s">
        <v>40</v>
      </c>
      <c r="C406" s="6">
        <f>INDEX(Data!M:M,MATCH(Q406,Data!AM:AM,0))</f>
        <v>0</v>
      </c>
      <c r="D406" s="6">
        <f>INDEX(Data!O:O,MATCH(Q406,Data!AM:AM,0))</f>
        <v>0</v>
      </c>
      <c r="E406" s="2" t="e">
        <f>INDEX(Data!T:T,MATCH($P406,Data!$AL:$AL,0))</f>
        <v>#N/A</v>
      </c>
      <c r="F406" s="2" t="e">
        <f>INDEX(Data!P:P,MATCH($P406,Data!$AL:$AL,0))</f>
        <v>#N/A</v>
      </c>
      <c r="G406" s="2" t="e">
        <f>INDEX(Data!Z:Z,MATCH($P406,Data!$AL:$AL,0))</f>
        <v>#N/A</v>
      </c>
      <c r="H406" s="2" t="e">
        <f>INDEX(Data!AA:AA,MATCH($P406,Data!$AL:$AL,0))</f>
        <v>#N/A</v>
      </c>
      <c r="I406" s="2" t="e">
        <f>INDEX(Data!AB:AB,MATCH($P406,Data!$AL:$AL,0))</f>
        <v>#N/A</v>
      </c>
      <c r="J406" s="2" t="e">
        <f>INDEX(Data!V:V,MATCH($P406,Data!$AL:$AL,0))</f>
        <v>#N/A</v>
      </c>
      <c r="K406" s="2" t="e">
        <f>INDEX(Data!W:W,MATCH($P406,Data!$AL:$AL,0))</f>
        <v>#N/A</v>
      </c>
      <c r="L406" s="2" t="e">
        <f>INDEX(Data!X:X,MATCH($P406,Data!$AL:$AL,0))</f>
        <v>#N/A</v>
      </c>
      <c r="M406" s="2" t="e">
        <f>INDEX(Data!AD:AD,MATCH($P406,Data!$AL:$AL,0))</f>
        <v>#N/A</v>
      </c>
      <c r="N406" s="2" t="e">
        <f>INDEX(Data!AF:AF,MATCH($P406,Data!$AL:$AL,0))</f>
        <v>#N/A</v>
      </c>
      <c r="O406" s="2" t="e">
        <f>INDEX(Data!Q:Q,MATCH($P406,Data!$AL:$AL,0))</f>
        <v>#N/A</v>
      </c>
      <c r="Q406" s="3" t="str">
        <f t="shared" si="6"/>
        <v>NCL</v>
      </c>
    </row>
    <row r="407" spans="1:17" x14ac:dyDescent="0.25">
      <c r="A407" s="3">
        <v>414</v>
      </c>
      <c r="B407" s="216" t="s">
        <v>41</v>
      </c>
      <c r="C407" s="7">
        <f>INDEX(Data!M:M,MATCH(Q407,Data!AM:AM,0))</f>
        <v>0</v>
      </c>
      <c r="D407" s="7">
        <f>INDEX(Data!O:O,MATCH(Q407,Data!AM:AM,0))</f>
        <v>0</v>
      </c>
      <c r="E407" t="e">
        <f>INDEX(Data!T:T,MATCH($P407,Data!$AL:$AL,0))</f>
        <v>#N/A</v>
      </c>
      <c r="F407" t="e">
        <f>INDEX(Data!P:P,MATCH($P407,Data!$AL:$AL,0))</f>
        <v>#N/A</v>
      </c>
      <c r="G407" t="e">
        <f>INDEX(Data!Z:Z,MATCH($P407,Data!$AL:$AL,0))</f>
        <v>#N/A</v>
      </c>
      <c r="H407" t="e">
        <f>INDEX(Data!AA:AA,MATCH($P407,Data!$AL:$AL,0))</f>
        <v>#N/A</v>
      </c>
      <c r="I407" t="e">
        <f>INDEX(Data!AB:AB,MATCH($P407,Data!$AL:$AL,0))</f>
        <v>#N/A</v>
      </c>
      <c r="J407" t="e">
        <f>INDEX(Data!V:V,MATCH($P407,Data!$AL:$AL,0))</f>
        <v>#N/A</v>
      </c>
      <c r="K407" t="e">
        <f>INDEX(Data!W:W,MATCH($P407,Data!$AL:$AL,0))</f>
        <v>#N/A</v>
      </c>
      <c r="L407" t="e">
        <f>INDEX(Data!X:X,MATCH($P407,Data!$AL:$AL,0))</f>
        <v>#N/A</v>
      </c>
      <c r="M407" t="e">
        <f>INDEX(Data!AD:AD,MATCH($P407,Data!$AL:$AL,0))</f>
        <v>#N/A</v>
      </c>
      <c r="N407" t="e">
        <f>INDEX(Data!AF:AF,MATCH($P407,Data!$AL:$AL,0))</f>
        <v>#N/A</v>
      </c>
      <c r="O407" t="e">
        <f>INDEX(Data!Q:Q,MATCH($P407,Data!$AL:$AL,0))</f>
        <v>#N/A</v>
      </c>
      <c r="Q407" s="3" t="str">
        <f t="shared" si="6"/>
        <v>CL</v>
      </c>
    </row>
    <row r="408" spans="1:17" x14ac:dyDescent="0.25">
      <c r="A408" s="3">
        <v>415</v>
      </c>
      <c r="B408" s="216" t="s">
        <v>42</v>
      </c>
      <c r="C408" s="7">
        <f>INDEX(Data!M:M,MATCH(Q408,Data!AM:AM,0))</f>
        <v>0</v>
      </c>
      <c r="D408" s="7">
        <f>INDEX(Data!O:O,MATCH(Q408,Data!AM:AM,0))</f>
        <v>0</v>
      </c>
      <c r="E408" t="e">
        <f>INDEX(Data!T:T,MATCH($P408,Data!$AL:$AL,0))</f>
        <v>#N/A</v>
      </c>
      <c r="F408" t="e">
        <f>INDEX(Data!P:P,MATCH($P408,Data!$AL:$AL,0))</f>
        <v>#N/A</v>
      </c>
      <c r="G408" t="e">
        <f>INDEX(Data!Z:Z,MATCH($P408,Data!$AL:$AL,0))</f>
        <v>#N/A</v>
      </c>
      <c r="H408" t="e">
        <f>INDEX(Data!AA:AA,MATCH($P408,Data!$AL:$AL,0))</f>
        <v>#N/A</v>
      </c>
      <c r="I408" t="e">
        <f>INDEX(Data!AB:AB,MATCH($P408,Data!$AL:$AL,0))</f>
        <v>#N/A</v>
      </c>
      <c r="J408" t="e">
        <f>INDEX(Data!V:V,MATCH($P408,Data!$AL:$AL,0))</f>
        <v>#N/A</v>
      </c>
      <c r="K408" t="e">
        <f>INDEX(Data!W:W,MATCH($P408,Data!$AL:$AL,0))</f>
        <v>#N/A</v>
      </c>
      <c r="L408" t="e">
        <f>INDEX(Data!X:X,MATCH($P408,Data!$AL:$AL,0))</f>
        <v>#N/A</v>
      </c>
      <c r="M408" t="e">
        <f>INDEX(Data!AD:AD,MATCH($P408,Data!$AL:$AL,0))</f>
        <v>#N/A</v>
      </c>
      <c r="N408" t="e">
        <f>INDEX(Data!AF:AF,MATCH($P408,Data!$AL:$AL,0))</f>
        <v>#N/A</v>
      </c>
      <c r="O408" t="e">
        <f>INDEX(Data!Q:Q,MATCH($P408,Data!$AL:$AL,0))</f>
        <v>#N/A</v>
      </c>
      <c r="Q408" s="3" t="str">
        <f t="shared" si="6"/>
        <v>ACL</v>
      </c>
    </row>
    <row r="409" spans="1:17" x14ac:dyDescent="0.25">
      <c r="A409" s="3">
        <v>416</v>
      </c>
      <c r="B409" s="216" t="s">
        <v>43</v>
      </c>
      <c r="C409" s="7">
        <f>INDEX(Data!M:M,MATCH(Q409,Data!AM:AM,0))</f>
        <v>0</v>
      </c>
      <c r="D409" s="7">
        <f>INDEX(Data!O:O,MATCH(Q409,Data!AM:AM,0))</f>
        <v>0</v>
      </c>
      <c r="E409" t="e">
        <f>INDEX(Data!T:T,MATCH($P409,Data!$AL:$AL,0))</f>
        <v>#N/A</v>
      </c>
      <c r="F409" t="e">
        <f>INDEX(Data!P:P,MATCH($P409,Data!$AL:$AL,0))</f>
        <v>#N/A</v>
      </c>
      <c r="G409" t="e">
        <f>INDEX(Data!Z:Z,MATCH($P409,Data!$AL:$AL,0))</f>
        <v>#N/A</v>
      </c>
      <c r="H409" t="e">
        <f>INDEX(Data!AA:AA,MATCH($P409,Data!$AL:$AL,0))</f>
        <v>#N/A</v>
      </c>
      <c r="I409" t="e">
        <f>INDEX(Data!AB:AB,MATCH($P409,Data!$AL:$AL,0))</f>
        <v>#N/A</v>
      </c>
      <c r="J409" t="e">
        <f>INDEX(Data!V:V,MATCH($P409,Data!$AL:$AL,0))</f>
        <v>#N/A</v>
      </c>
      <c r="K409" t="e">
        <f>INDEX(Data!W:W,MATCH($P409,Data!$AL:$AL,0))</f>
        <v>#N/A</v>
      </c>
      <c r="L409" t="e">
        <f>INDEX(Data!X:X,MATCH($P409,Data!$AL:$AL,0))</f>
        <v>#N/A</v>
      </c>
      <c r="M409" t="e">
        <f>INDEX(Data!AD:AD,MATCH($P409,Data!$AL:$AL,0))</f>
        <v>#N/A</v>
      </c>
      <c r="N409" t="e">
        <f>INDEX(Data!AF:AF,MATCH($P409,Data!$AL:$AL,0))</f>
        <v>#N/A</v>
      </c>
      <c r="O409" t="e">
        <f>INDEX(Data!Q:Q,MATCH($P409,Data!$AL:$AL,0))</f>
        <v>#N/A</v>
      </c>
      <c r="Q409" s="3" t="str">
        <f t="shared" si="6"/>
        <v>SPCL</v>
      </c>
    </row>
    <row r="410" spans="1:17" x14ac:dyDescent="0.25">
      <c r="A410" s="4">
        <v>417</v>
      </c>
      <c r="B410" s="217" t="s">
        <v>44</v>
      </c>
      <c r="C410" s="8">
        <f>INDEX(Data!M:M,MATCH(Q410,Data!AM:AM,0))</f>
        <v>0</v>
      </c>
      <c r="D410" s="8">
        <f>INDEX(Data!O:O,MATCH(Q410,Data!AM:AM,0))</f>
        <v>0</v>
      </c>
      <c r="E410" s="1" t="e">
        <f>INDEX(Data!T:T,MATCH($P410,Data!$AL:$AL,0))</f>
        <v>#N/A</v>
      </c>
      <c r="F410" s="1" t="e">
        <f>INDEX(Data!P:P,MATCH($P410,Data!$AL:$AL,0))</f>
        <v>#N/A</v>
      </c>
      <c r="G410" s="1" t="e">
        <f>INDEX(Data!Z:Z,MATCH($P410,Data!$AL:$AL,0))</f>
        <v>#N/A</v>
      </c>
      <c r="H410" s="1" t="e">
        <f>INDEX(Data!AA:AA,MATCH($P410,Data!$AL:$AL,0))</f>
        <v>#N/A</v>
      </c>
      <c r="I410" s="1" t="e">
        <f>INDEX(Data!AB:AB,MATCH($P410,Data!$AL:$AL,0))</f>
        <v>#N/A</v>
      </c>
      <c r="J410" s="1" t="e">
        <f>INDEX(Data!V:V,MATCH($P410,Data!$AL:$AL,0))</f>
        <v>#N/A</v>
      </c>
      <c r="K410" s="1" t="e">
        <f>INDEX(Data!W:W,MATCH($P410,Data!$AL:$AL,0))</f>
        <v>#N/A</v>
      </c>
      <c r="L410" s="1" t="e">
        <f>INDEX(Data!X:X,MATCH($P410,Data!$AL:$AL,0))</f>
        <v>#N/A</v>
      </c>
      <c r="M410" s="1" t="e">
        <f>INDEX(Data!AD:AD,MATCH($P410,Data!$AL:$AL,0))</f>
        <v>#N/A</v>
      </c>
      <c r="N410" s="1" t="e">
        <f>INDEX(Data!AF:AF,MATCH($P410,Data!$AL:$AL,0))</f>
        <v>#N/A</v>
      </c>
      <c r="O410" s="1" t="e">
        <f>INDEX(Data!Q:Q,MATCH($P410,Data!$AL:$AL,0))</f>
        <v>#N/A</v>
      </c>
      <c r="P410" s="1"/>
      <c r="Q410" s="4" t="str">
        <f t="shared" si="6"/>
        <v>SPACL</v>
      </c>
    </row>
    <row r="411" spans="1:17" x14ac:dyDescent="0.25">
      <c r="A411" s="3">
        <v>418</v>
      </c>
      <c r="B411" s="218" t="s">
        <v>40</v>
      </c>
      <c r="C411" s="6">
        <f>INDEX(Data!M:M,MATCH(Q411,Data!AM:AM,0))</f>
        <v>0</v>
      </c>
      <c r="D411" s="6">
        <f>INDEX(Data!O:O,MATCH(Q411,Data!AM:AM,0))</f>
        <v>0</v>
      </c>
      <c r="E411" s="2" t="e">
        <f>INDEX(Data!T:T,MATCH($P411,Data!$AL:$AL,0))</f>
        <v>#N/A</v>
      </c>
      <c r="F411" s="2" t="e">
        <f>INDEX(Data!P:P,MATCH($P411,Data!$AL:$AL,0))</f>
        <v>#N/A</v>
      </c>
      <c r="G411" s="2" t="e">
        <f>INDEX(Data!Z:Z,MATCH($P411,Data!$AL:$AL,0))</f>
        <v>#N/A</v>
      </c>
      <c r="H411" s="2" t="e">
        <f>INDEX(Data!AA:AA,MATCH($P411,Data!$AL:$AL,0))</f>
        <v>#N/A</v>
      </c>
      <c r="I411" s="2" t="e">
        <f>INDEX(Data!AB:AB,MATCH($P411,Data!$AL:$AL,0))</f>
        <v>#N/A</v>
      </c>
      <c r="J411" s="2" t="e">
        <f>INDEX(Data!V:V,MATCH($P411,Data!$AL:$AL,0))</f>
        <v>#N/A</v>
      </c>
      <c r="K411" s="2" t="e">
        <f>INDEX(Data!W:W,MATCH($P411,Data!$AL:$AL,0))</f>
        <v>#N/A</v>
      </c>
      <c r="L411" s="2" t="e">
        <f>INDEX(Data!X:X,MATCH($P411,Data!$AL:$AL,0))</f>
        <v>#N/A</v>
      </c>
      <c r="M411" s="2" t="e">
        <f>INDEX(Data!AD:AD,MATCH($P411,Data!$AL:$AL,0))</f>
        <v>#N/A</v>
      </c>
      <c r="N411" s="2" t="e">
        <f>INDEX(Data!AF:AF,MATCH($P411,Data!$AL:$AL,0))</f>
        <v>#N/A</v>
      </c>
      <c r="O411" s="2" t="e">
        <f>INDEX(Data!Q:Q,MATCH($P411,Data!$AL:$AL,0))</f>
        <v>#N/A</v>
      </c>
      <c r="Q411" s="3" t="str">
        <f t="shared" si="6"/>
        <v>NCL</v>
      </c>
    </row>
    <row r="412" spans="1:17" x14ac:dyDescent="0.25">
      <c r="A412" s="3">
        <v>419</v>
      </c>
      <c r="B412" s="216" t="s">
        <v>41</v>
      </c>
      <c r="C412" s="7">
        <f>INDEX(Data!M:M,MATCH(Q412,Data!AM:AM,0))</f>
        <v>0</v>
      </c>
      <c r="D412" s="7">
        <f>INDEX(Data!O:O,MATCH(Q412,Data!AM:AM,0))</f>
        <v>0</v>
      </c>
      <c r="E412" t="e">
        <f>INDEX(Data!T:T,MATCH($P412,Data!$AL:$AL,0))</f>
        <v>#N/A</v>
      </c>
      <c r="F412" t="e">
        <f>INDEX(Data!P:P,MATCH($P412,Data!$AL:$AL,0))</f>
        <v>#N/A</v>
      </c>
      <c r="G412" t="e">
        <f>INDEX(Data!Z:Z,MATCH($P412,Data!$AL:$AL,0))</f>
        <v>#N/A</v>
      </c>
      <c r="H412" t="e">
        <f>INDEX(Data!AA:AA,MATCH($P412,Data!$AL:$AL,0))</f>
        <v>#N/A</v>
      </c>
      <c r="I412" t="e">
        <f>INDEX(Data!AB:AB,MATCH($P412,Data!$AL:$AL,0))</f>
        <v>#N/A</v>
      </c>
      <c r="J412" t="e">
        <f>INDEX(Data!V:V,MATCH($P412,Data!$AL:$AL,0))</f>
        <v>#N/A</v>
      </c>
      <c r="K412" t="e">
        <f>INDEX(Data!W:W,MATCH($P412,Data!$AL:$AL,0))</f>
        <v>#N/A</v>
      </c>
      <c r="L412" t="e">
        <f>INDEX(Data!X:X,MATCH($P412,Data!$AL:$AL,0))</f>
        <v>#N/A</v>
      </c>
      <c r="M412" t="e">
        <f>INDEX(Data!AD:AD,MATCH($P412,Data!$AL:$AL,0))</f>
        <v>#N/A</v>
      </c>
      <c r="N412" t="e">
        <f>INDEX(Data!AF:AF,MATCH($P412,Data!$AL:$AL,0))</f>
        <v>#N/A</v>
      </c>
      <c r="O412" t="e">
        <f>INDEX(Data!Q:Q,MATCH($P412,Data!$AL:$AL,0))</f>
        <v>#N/A</v>
      </c>
      <c r="Q412" s="3" t="str">
        <f t="shared" si="6"/>
        <v>CL</v>
      </c>
    </row>
    <row r="413" spans="1:17" x14ac:dyDescent="0.25">
      <c r="A413" s="3">
        <v>420</v>
      </c>
      <c r="B413" s="216" t="s">
        <v>42</v>
      </c>
      <c r="C413" s="7">
        <f>INDEX(Data!M:M,MATCH(Q413,Data!AM:AM,0))</f>
        <v>0</v>
      </c>
      <c r="D413" s="7">
        <f>INDEX(Data!O:O,MATCH(Q413,Data!AM:AM,0))</f>
        <v>0</v>
      </c>
      <c r="E413" t="e">
        <f>INDEX(Data!T:T,MATCH($P413,Data!$AL:$AL,0))</f>
        <v>#N/A</v>
      </c>
      <c r="F413" t="e">
        <f>INDEX(Data!P:P,MATCH($P413,Data!$AL:$AL,0))</f>
        <v>#N/A</v>
      </c>
      <c r="G413" t="e">
        <f>INDEX(Data!Z:Z,MATCH($P413,Data!$AL:$AL,0))</f>
        <v>#N/A</v>
      </c>
      <c r="H413" t="e">
        <f>INDEX(Data!AA:AA,MATCH($P413,Data!$AL:$AL,0))</f>
        <v>#N/A</v>
      </c>
      <c r="I413" t="e">
        <f>INDEX(Data!AB:AB,MATCH($P413,Data!$AL:$AL,0))</f>
        <v>#N/A</v>
      </c>
      <c r="J413" t="e">
        <f>INDEX(Data!V:V,MATCH($P413,Data!$AL:$AL,0))</f>
        <v>#N/A</v>
      </c>
      <c r="K413" t="e">
        <f>INDEX(Data!W:W,MATCH($P413,Data!$AL:$AL,0))</f>
        <v>#N/A</v>
      </c>
      <c r="L413" t="e">
        <f>INDEX(Data!X:X,MATCH($P413,Data!$AL:$AL,0))</f>
        <v>#N/A</v>
      </c>
      <c r="M413" t="e">
        <f>INDEX(Data!AD:AD,MATCH($P413,Data!$AL:$AL,0))</f>
        <v>#N/A</v>
      </c>
      <c r="N413" t="e">
        <f>INDEX(Data!AF:AF,MATCH($P413,Data!$AL:$AL,0))</f>
        <v>#N/A</v>
      </c>
      <c r="O413" t="e">
        <f>INDEX(Data!Q:Q,MATCH($P413,Data!$AL:$AL,0))</f>
        <v>#N/A</v>
      </c>
      <c r="Q413" s="3" t="str">
        <f t="shared" si="6"/>
        <v>ACL</v>
      </c>
    </row>
    <row r="414" spans="1:17" x14ac:dyDescent="0.25">
      <c r="A414" s="3">
        <v>421</v>
      </c>
      <c r="B414" s="216" t="s">
        <v>43</v>
      </c>
      <c r="C414" s="7">
        <f>INDEX(Data!M:M,MATCH(Q414,Data!AM:AM,0))</f>
        <v>0</v>
      </c>
      <c r="D414" s="7">
        <f>INDEX(Data!O:O,MATCH(Q414,Data!AM:AM,0))</f>
        <v>0</v>
      </c>
      <c r="E414" t="e">
        <f>INDEX(Data!T:T,MATCH($P414,Data!$AL:$AL,0))</f>
        <v>#N/A</v>
      </c>
      <c r="F414" t="e">
        <f>INDEX(Data!P:P,MATCH($P414,Data!$AL:$AL,0))</f>
        <v>#N/A</v>
      </c>
      <c r="G414" t="e">
        <f>INDEX(Data!Z:Z,MATCH($P414,Data!$AL:$AL,0))</f>
        <v>#N/A</v>
      </c>
      <c r="H414" t="e">
        <f>INDEX(Data!AA:AA,MATCH($P414,Data!$AL:$AL,0))</f>
        <v>#N/A</v>
      </c>
      <c r="I414" t="e">
        <f>INDEX(Data!AB:AB,MATCH($P414,Data!$AL:$AL,0))</f>
        <v>#N/A</v>
      </c>
      <c r="J414" t="e">
        <f>INDEX(Data!V:V,MATCH($P414,Data!$AL:$AL,0))</f>
        <v>#N/A</v>
      </c>
      <c r="K414" t="e">
        <f>INDEX(Data!W:W,MATCH($P414,Data!$AL:$AL,0))</f>
        <v>#N/A</v>
      </c>
      <c r="L414" t="e">
        <f>INDEX(Data!X:X,MATCH($P414,Data!$AL:$AL,0))</f>
        <v>#N/A</v>
      </c>
      <c r="M414" t="e">
        <f>INDEX(Data!AD:AD,MATCH($P414,Data!$AL:$AL,0))</f>
        <v>#N/A</v>
      </c>
      <c r="N414" t="e">
        <f>INDEX(Data!AF:AF,MATCH($P414,Data!$AL:$AL,0))</f>
        <v>#N/A</v>
      </c>
      <c r="O414" t="e">
        <f>INDEX(Data!Q:Q,MATCH($P414,Data!$AL:$AL,0))</f>
        <v>#N/A</v>
      </c>
      <c r="Q414" s="3" t="str">
        <f t="shared" si="6"/>
        <v>SPCL</v>
      </c>
    </row>
    <row r="415" spans="1:17" x14ac:dyDescent="0.25">
      <c r="A415" s="4">
        <v>422</v>
      </c>
      <c r="B415" s="217" t="s">
        <v>44</v>
      </c>
      <c r="C415" s="8">
        <f>INDEX(Data!M:M,MATCH(Q415,Data!AM:AM,0))</f>
        <v>0</v>
      </c>
      <c r="D415" s="8">
        <f>INDEX(Data!O:O,MATCH(Q415,Data!AM:AM,0))</f>
        <v>0</v>
      </c>
      <c r="E415" s="1" t="e">
        <f>INDEX(Data!T:T,MATCH($P415,Data!$AL:$AL,0))</f>
        <v>#N/A</v>
      </c>
      <c r="F415" s="1" t="e">
        <f>INDEX(Data!P:P,MATCH($P415,Data!$AL:$AL,0))</f>
        <v>#N/A</v>
      </c>
      <c r="G415" s="1" t="e">
        <f>INDEX(Data!Z:Z,MATCH($P415,Data!$AL:$AL,0))</f>
        <v>#N/A</v>
      </c>
      <c r="H415" s="1" t="e">
        <f>INDEX(Data!AA:AA,MATCH($P415,Data!$AL:$AL,0))</f>
        <v>#N/A</v>
      </c>
      <c r="I415" s="1" t="e">
        <f>INDEX(Data!AB:AB,MATCH($P415,Data!$AL:$AL,0))</f>
        <v>#N/A</v>
      </c>
      <c r="J415" s="1" t="e">
        <f>INDEX(Data!V:V,MATCH($P415,Data!$AL:$AL,0))</f>
        <v>#N/A</v>
      </c>
      <c r="K415" s="1" t="e">
        <f>INDEX(Data!W:W,MATCH($P415,Data!$AL:$AL,0))</f>
        <v>#N/A</v>
      </c>
      <c r="L415" s="1" t="e">
        <f>INDEX(Data!X:X,MATCH($P415,Data!$AL:$AL,0))</f>
        <v>#N/A</v>
      </c>
      <c r="M415" s="1" t="e">
        <f>INDEX(Data!AD:AD,MATCH($P415,Data!$AL:$AL,0))</f>
        <v>#N/A</v>
      </c>
      <c r="N415" s="1" t="e">
        <f>INDEX(Data!AF:AF,MATCH($P415,Data!$AL:$AL,0))</f>
        <v>#N/A</v>
      </c>
      <c r="O415" s="1" t="e">
        <f>INDEX(Data!Q:Q,MATCH($P415,Data!$AL:$AL,0))</f>
        <v>#N/A</v>
      </c>
      <c r="P415" s="1"/>
      <c r="Q415" s="4" t="str">
        <f t="shared" si="6"/>
        <v>SPACL</v>
      </c>
    </row>
    <row r="416" spans="1:17" x14ac:dyDescent="0.25">
      <c r="A416" s="3">
        <v>423</v>
      </c>
      <c r="B416" s="218" t="s">
        <v>40</v>
      </c>
      <c r="C416" s="6">
        <f>INDEX(Data!M:M,MATCH(Q416,Data!AM:AM,0))</f>
        <v>0</v>
      </c>
      <c r="D416" s="6">
        <f>INDEX(Data!O:O,MATCH(Q416,Data!AM:AM,0))</f>
        <v>0</v>
      </c>
      <c r="E416" s="2" t="e">
        <f>INDEX(Data!T:T,MATCH($P416,Data!$AL:$AL,0))</f>
        <v>#N/A</v>
      </c>
      <c r="F416" s="2" t="e">
        <f>INDEX(Data!P:P,MATCH($P416,Data!$AL:$AL,0))</f>
        <v>#N/A</v>
      </c>
      <c r="G416" s="2" t="e">
        <f>INDEX(Data!Z:Z,MATCH($P416,Data!$AL:$AL,0))</f>
        <v>#N/A</v>
      </c>
      <c r="H416" s="2" t="e">
        <f>INDEX(Data!AA:AA,MATCH($P416,Data!$AL:$AL,0))</f>
        <v>#N/A</v>
      </c>
      <c r="I416" s="2" t="e">
        <f>INDEX(Data!AB:AB,MATCH($P416,Data!$AL:$AL,0))</f>
        <v>#N/A</v>
      </c>
      <c r="J416" s="2" t="e">
        <f>INDEX(Data!V:V,MATCH($P416,Data!$AL:$AL,0))</f>
        <v>#N/A</v>
      </c>
      <c r="K416" s="2" t="e">
        <f>INDEX(Data!W:W,MATCH($P416,Data!$AL:$AL,0))</f>
        <v>#N/A</v>
      </c>
      <c r="L416" s="2" t="e">
        <f>INDEX(Data!X:X,MATCH($P416,Data!$AL:$AL,0))</f>
        <v>#N/A</v>
      </c>
      <c r="M416" s="2" t="e">
        <f>INDEX(Data!AD:AD,MATCH($P416,Data!$AL:$AL,0))</f>
        <v>#N/A</v>
      </c>
      <c r="N416" s="2" t="e">
        <f>INDEX(Data!AF:AF,MATCH($P416,Data!$AL:$AL,0))</f>
        <v>#N/A</v>
      </c>
      <c r="O416" s="2" t="e">
        <f>INDEX(Data!Q:Q,MATCH($P416,Data!$AL:$AL,0))</f>
        <v>#N/A</v>
      </c>
      <c r="Q416" s="3" t="str">
        <f t="shared" si="6"/>
        <v>NCL</v>
      </c>
    </row>
    <row r="417" spans="1:17" x14ac:dyDescent="0.25">
      <c r="A417" s="3">
        <v>424</v>
      </c>
      <c r="B417" s="216" t="s">
        <v>41</v>
      </c>
      <c r="C417" s="7">
        <f>INDEX(Data!M:M,MATCH(Q417,Data!AM:AM,0))</f>
        <v>0</v>
      </c>
      <c r="D417" s="7">
        <f>INDEX(Data!O:O,MATCH(Q417,Data!AM:AM,0))</f>
        <v>0</v>
      </c>
      <c r="E417" t="e">
        <f>INDEX(Data!T:T,MATCH($P417,Data!$AL:$AL,0))</f>
        <v>#N/A</v>
      </c>
      <c r="F417" t="e">
        <f>INDEX(Data!P:P,MATCH($P417,Data!$AL:$AL,0))</f>
        <v>#N/A</v>
      </c>
      <c r="G417" t="e">
        <f>INDEX(Data!Z:Z,MATCH($P417,Data!$AL:$AL,0))</f>
        <v>#N/A</v>
      </c>
      <c r="H417" t="e">
        <f>INDEX(Data!AA:AA,MATCH($P417,Data!$AL:$AL,0))</f>
        <v>#N/A</v>
      </c>
      <c r="I417" t="e">
        <f>INDEX(Data!AB:AB,MATCH($P417,Data!$AL:$AL,0))</f>
        <v>#N/A</v>
      </c>
      <c r="J417" t="e">
        <f>INDEX(Data!V:V,MATCH($P417,Data!$AL:$AL,0))</f>
        <v>#N/A</v>
      </c>
      <c r="K417" t="e">
        <f>INDEX(Data!W:W,MATCH($P417,Data!$AL:$AL,0))</f>
        <v>#N/A</v>
      </c>
      <c r="L417" t="e">
        <f>INDEX(Data!X:X,MATCH($P417,Data!$AL:$AL,0))</f>
        <v>#N/A</v>
      </c>
      <c r="M417" t="e">
        <f>INDEX(Data!AD:AD,MATCH($P417,Data!$AL:$AL,0))</f>
        <v>#N/A</v>
      </c>
      <c r="N417" t="e">
        <f>INDEX(Data!AF:AF,MATCH($P417,Data!$AL:$AL,0))</f>
        <v>#N/A</v>
      </c>
      <c r="O417" t="e">
        <f>INDEX(Data!Q:Q,MATCH($P417,Data!$AL:$AL,0))</f>
        <v>#N/A</v>
      </c>
      <c r="Q417" s="3" t="str">
        <f t="shared" si="6"/>
        <v>CL</v>
      </c>
    </row>
    <row r="418" spans="1:17" x14ac:dyDescent="0.25">
      <c r="A418" s="3">
        <v>425</v>
      </c>
      <c r="B418" s="216" t="s">
        <v>42</v>
      </c>
      <c r="C418" s="7">
        <f>INDEX(Data!M:M,MATCH(Q418,Data!AM:AM,0))</f>
        <v>0</v>
      </c>
      <c r="D418" s="7">
        <f>INDEX(Data!O:O,MATCH(Q418,Data!AM:AM,0))</f>
        <v>0</v>
      </c>
      <c r="E418" t="e">
        <f>INDEX(Data!T:T,MATCH($P418,Data!$AL:$AL,0))</f>
        <v>#N/A</v>
      </c>
      <c r="F418" t="e">
        <f>INDEX(Data!P:P,MATCH($P418,Data!$AL:$AL,0))</f>
        <v>#N/A</v>
      </c>
      <c r="G418" t="e">
        <f>INDEX(Data!Z:Z,MATCH($P418,Data!$AL:$AL,0))</f>
        <v>#N/A</v>
      </c>
      <c r="H418" t="e">
        <f>INDEX(Data!AA:AA,MATCH($P418,Data!$AL:$AL,0))</f>
        <v>#N/A</v>
      </c>
      <c r="I418" t="e">
        <f>INDEX(Data!AB:AB,MATCH($P418,Data!$AL:$AL,0))</f>
        <v>#N/A</v>
      </c>
      <c r="J418" t="e">
        <f>INDEX(Data!V:V,MATCH($P418,Data!$AL:$AL,0))</f>
        <v>#N/A</v>
      </c>
      <c r="K418" t="e">
        <f>INDEX(Data!W:W,MATCH($P418,Data!$AL:$AL,0))</f>
        <v>#N/A</v>
      </c>
      <c r="L418" t="e">
        <f>INDEX(Data!X:X,MATCH($P418,Data!$AL:$AL,0))</f>
        <v>#N/A</v>
      </c>
      <c r="M418" t="e">
        <f>INDEX(Data!AD:AD,MATCH($P418,Data!$AL:$AL,0))</f>
        <v>#N/A</v>
      </c>
      <c r="N418" t="e">
        <f>INDEX(Data!AF:AF,MATCH($P418,Data!$AL:$AL,0))</f>
        <v>#N/A</v>
      </c>
      <c r="O418" t="e">
        <f>INDEX(Data!Q:Q,MATCH($P418,Data!$AL:$AL,0))</f>
        <v>#N/A</v>
      </c>
      <c r="Q418" s="3" t="str">
        <f t="shared" si="6"/>
        <v>ACL</v>
      </c>
    </row>
    <row r="419" spans="1:17" x14ac:dyDescent="0.25">
      <c r="A419" s="3">
        <v>426</v>
      </c>
      <c r="B419" s="216" t="s">
        <v>43</v>
      </c>
      <c r="C419" s="7">
        <f>INDEX(Data!M:M,MATCH(Q419,Data!AM:AM,0))</f>
        <v>0</v>
      </c>
      <c r="D419" s="7">
        <f>INDEX(Data!O:O,MATCH(Q419,Data!AM:AM,0))</f>
        <v>0</v>
      </c>
      <c r="E419" t="e">
        <f>INDEX(Data!T:T,MATCH($P419,Data!$AL:$AL,0))</f>
        <v>#N/A</v>
      </c>
      <c r="F419" t="e">
        <f>INDEX(Data!P:P,MATCH($P419,Data!$AL:$AL,0))</f>
        <v>#N/A</v>
      </c>
      <c r="G419" t="e">
        <f>INDEX(Data!Z:Z,MATCH($P419,Data!$AL:$AL,0))</f>
        <v>#N/A</v>
      </c>
      <c r="H419" t="e">
        <f>INDEX(Data!AA:AA,MATCH($P419,Data!$AL:$AL,0))</f>
        <v>#N/A</v>
      </c>
      <c r="I419" t="e">
        <f>INDEX(Data!AB:AB,MATCH($P419,Data!$AL:$AL,0))</f>
        <v>#N/A</v>
      </c>
      <c r="J419" t="e">
        <f>INDEX(Data!V:V,MATCH($P419,Data!$AL:$AL,0))</f>
        <v>#N/A</v>
      </c>
      <c r="K419" t="e">
        <f>INDEX(Data!W:W,MATCH($P419,Data!$AL:$AL,0))</f>
        <v>#N/A</v>
      </c>
      <c r="L419" t="e">
        <f>INDEX(Data!X:X,MATCH($P419,Data!$AL:$AL,0))</f>
        <v>#N/A</v>
      </c>
      <c r="M419" t="e">
        <f>INDEX(Data!AD:AD,MATCH($P419,Data!$AL:$AL,0))</f>
        <v>#N/A</v>
      </c>
      <c r="N419" t="e">
        <f>INDEX(Data!AF:AF,MATCH($P419,Data!$AL:$AL,0))</f>
        <v>#N/A</v>
      </c>
      <c r="O419" t="e">
        <f>INDEX(Data!Q:Q,MATCH($P419,Data!$AL:$AL,0))</f>
        <v>#N/A</v>
      </c>
      <c r="Q419" s="3" t="str">
        <f t="shared" si="6"/>
        <v>SPCL</v>
      </c>
    </row>
    <row r="420" spans="1:17" x14ac:dyDescent="0.25">
      <c r="A420" s="4">
        <v>427</v>
      </c>
      <c r="B420" s="217" t="s">
        <v>44</v>
      </c>
      <c r="C420" s="8">
        <f>INDEX(Data!M:M,MATCH(Q420,Data!AM:AM,0))</f>
        <v>0</v>
      </c>
      <c r="D420" s="8">
        <f>INDEX(Data!O:O,MATCH(Q420,Data!AM:AM,0))</f>
        <v>0</v>
      </c>
      <c r="E420" s="1" t="e">
        <f>INDEX(Data!T:T,MATCH($P420,Data!$AL:$AL,0))</f>
        <v>#N/A</v>
      </c>
      <c r="F420" s="1" t="e">
        <f>INDEX(Data!P:P,MATCH($P420,Data!$AL:$AL,0))</f>
        <v>#N/A</v>
      </c>
      <c r="G420" s="1" t="e">
        <f>INDEX(Data!Z:Z,MATCH($P420,Data!$AL:$AL,0))</f>
        <v>#N/A</v>
      </c>
      <c r="H420" s="1" t="e">
        <f>INDEX(Data!AA:AA,MATCH($P420,Data!$AL:$AL,0))</f>
        <v>#N/A</v>
      </c>
      <c r="I420" s="1" t="e">
        <f>INDEX(Data!AB:AB,MATCH($P420,Data!$AL:$AL,0))</f>
        <v>#N/A</v>
      </c>
      <c r="J420" s="1" t="e">
        <f>INDEX(Data!V:V,MATCH($P420,Data!$AL:$AL,0))</f>
        <v>#N/A</v>
      </c>
      <c r="K420" s="1" t="e">
        <f>INDEX(Data!W:W,MATCH($P420,Data!$AL:$AL,0))</f>
        <v>#N/A</v>
      </c>
      <c r="L420" s="1" t="e">
        <f>INDEX(Data!X:X,MATCH($P420,Data!$AL:$AL,0))</f>
        <v>#N/A</v>
      </c>
      <c r="M420" s="1" t="e">
        <f>INDEX(Data!AD:AD,MATCH($P420,Data!$AL:$AL,0))</f>
        <v>#N/A</v>
      </c>
      <c r="N420" s="1" t="e">
        <f>INDEX(Data!AF:AF,MATCH($P420,Data!$AL:$AL,0))</f>
        <v>#N/A</v>
      </c>
      <c r="O420" s="1" t="e">
        <f>INDEX(Data!Q:Q,MATCH($P420,Data!$AL:$AL,0))</f>
        <v>#N/A</v>
      </c>
      <c r="P420" s="1"/>
      <c r="Q420" s="4" t="str">
        <f t="shared" si="6"/>
        <v>SPACL</v>
      </c>
    </row>
    <row r="421" spans="1:17" x14ac:dyDescent="0.25">
      <c r="A421" s="3">
        <v>428</v>
      </c>
      <c r="B421" s="218" t="s">
        <v>40</v>
      </c>
      <c r="C421" s="6">
        <f>INDEX(Data!M:M,MATCH(Q421,Data!AM:AM,0))</f>
        <v>0</v>
      </c>
      <c r="D421" s="6">
        <f>INDEX(Data!O:O,MATCH(Q421,Data!AM:AM,0))</f>
        <v>0</v>
      </c>
      <c r="E421" s="2" t="e">
        <f>INDEX(Data!T:T,MATCH($P421,Data!$AL:$AL,0))</f>
        <v>#N/A</v>
      </c>
      <c r="F421" s="2" t="e">
        <f>INDEX(Data!P:P,MATCH($P421,Data!$AL:$AL,0))</f>
        <v>#N/A</v>
      </c>
      <c r="G421" s="2" t="e">
        <f>INDEX(Data!Z:Z,MATCH($P421,Data!$AL:$AL,0))</f>
        <v>#N/A</v>
      </c>
      <c r="H421" s="2" t="e">
        <f>INDEX(Data!AA:AA,MATCH($P421,Data!$AL:$AL,0))</f>
        <v>#N/A</v>
      </c>
      <c r="I421" s="2" t="e">
        <f>INDEX(Data!AB:AB,MATCH($P421,Data!$AL:$AL,0))</f>
        <v>#N/A</v>
      </c>
      <c r="J421" s="2" t="e">
        <f>INDEX(Data!V:V,MATCH($P421,Data!$AL:$AL,0))</f>
        <v>#N/A</v>
      </c>
      <c r="K421" s="2" t="e">
        <f>INDEX(Data!W:W,MATCH($P421,Data!$AL:$AL,0))</f>
        <v>#N/A</v>
      </c>
      <c r="L421" s="2" t="e">
        <f>INDEX(Data!X:X,MATCH($P421,Data!$AL:$AL,0))</f>
        <v>#N/A</v>
      </c>
      <c r="M421" s="2" t="e">
        <f>INDEX(Data!AD:AD,MATCH($P421,Data!$AL:$AL,0))</f>
        <v>#N/A</v>
      </c>
      <c r="N421" s="2" t="e">
        <f>INDEX(Data!AF:AF,MATCH($P421,Data!$AL:$AL,0))</f>
        <v>#N/A</v>
      </c>
      <c r="O421" s="2" t="e">
        <f>INDEX(Data!Q:Q,MATCH($P421,Data!$AL:$AL,0))</f>
        <v>#N/A</v>
      </c>
      <c r="Q421" s="3" t="str">
        <f t="shared" si="6"/>
        <v>NCL</v>
      </c>
    </row>
    <row r="422" spans="1:17" x14ac:dyDescent="0.25">
      <c r="A422" s="3">
        <v>429</v>
      </c>
      <c r="B422" s="216" t="s">
        <v>41</v>
      </c>
      <c r="C422" s="7">
        <f>INDEX(Data!M:M,MATCH(Q422,Data!AM:AM,0))</f>
        <v>0</v>
      </c>
      <c r="D422" s="7">
        <f>INDEX(Data!O:O,MATCH(Q422,Data!AM:AM,0))</f>
        <v>0</v>
      </c>
      <c r="E422" t="e">
        <f>INDEX(Data!T:T,MATCH($P422,Data!$AL:$AL,0))</f>
        <v>#N/A</v>
      </c>
      <c r="F422" t="e">
        <f>INDEX(Data!P:P,MATCH($P422,Data!$AL:$AL,0))</f>
        <v>#N/A</v>
      </c>
      <c r="G422" t="e">
        <f>INDEX(Data!Z:Z,MATCH($P422,Data!$AL:$AL,0))</f>
        <v>#N/A</v>
      </c>
      <c r="H422" t="e">
        <f>INDEX(Data!AA:AA,MATCH($P422,Data!$AL:$AL,0))</f>
        <v>#N/A</v>
      </c>
      <c r="I422" t="e">
        <f>INDEX(Data!AB:AB,MATCH($P422,Data!$AL:$AL,0))</f>
        <v>#N/A</v>
      </c>
      <c r="J422" t="e">
        <f>INDEX(Data!V:V,MATCH($P422,Data!$AL:$AL,0))</f>
        <v>#N/A</v>
      </c>
      <c r="K422" t="e">
        <f>INDEX(Data!W:W,MATCH($P422,Data!$AL:$AL,0))</f>
        <v>#N/A</v>
      </c>
      <c r="L422" t="e">
        <f>INDEX(Data!X:X,MATCH($P422,Data!$AL:$AL,0))</f>
        <v>#N/A</v>
      </c>
      <c r="M422" t="e">
        <f>INDEX(Data!AD:AD,MATCH($P422,Data!$AL:$AL,0))</f>
        <v>#N/A</v>
      </c>
      <c r="N422" t="e">
        <f>INDEX(Data!AF:AF,MATCH($P422,Data!$AL:$AL,0))</f>
        <v>#N/A</v>
      </c>
      <c r="O422" t="e">
        <f>INDEX(Data!Q:Q,MATCH($P422,Data!$AL:$AL,0))</f>
        <v>#N/A</v>
      </c>
      <c r="Q422" s="3" t="str">
        <f t="shared" si="6"/>
        <v>CL</v>
      </c>
    </row>
    <row r="423" spans="1:17" x14ac:dyDescent="0.25">
      <c r="A423" s="3">
        <v>430</v>
      </c>
      <c r="B423" s="216" t="s">
        <v>42</v>
      </c>
      <c r="C423" s="7">
        <f>INDEX(Data!M:M,MATCH(Q423,Data!AM:AM,0))</f>
        <v>0</v>
      </c>
      <c r="D423" s="7">
        <f>INDEX(Data!O:O,MATCH(Q423,Data!AM:AM,0))</f>
        <v>0</v>
      </c>
      <c r="E423" t="e">
        <f>INDEX(Data!T:T,MATCH($P423,Data!$AL:$AL,0))</f>
        <v>#N/A</v>
      </c>
      <c r="F423" t="e">
        <f>INDEX(Data!P:P,MATCH($P423,Data!$AL:$AL,0))</f>
        <v>#N/A</v>
      </c>
      <c r="G423" t="e">
        <f>INDEX(Data!Z:Z,MATCH($P423,Data!$AL:$AL,0))</f>
        <v>#N/A</v>
      </c>
      <c r="H423" t="e">
        <f>INDEX(Data!AA:AA,MATCH($P423,Data!$AL:$AL,0))</f>
        <v>#N/A</v>
      </c>
      <c r="I423" t="e">
        <f>INDEX(Data!AB:AB,MATCH($P423,Data!$AL:$AL,0))</f>
        <v>#N/A</v>
      </c>
      <c r="J423" t="e">
        <f>INDEX(Data!V:V,MATCH($P423,Data!$AL:$AL,0))</f>
        <v>#N/A</v>
      </c>
      <c r="K423" t="e">
        <f>INDEX(Data!W:W,MATCH($P423,Data!$AL:$AL,0))</f>
        <v>#N/A</v>
      </c>
      <c r="L423" t="e">
        <f>INDEX(Data!X:X,MATCH($P423,Data!$AL:$AL,0))</f>
        <v>#N/A</v>
      </c>
      <c r="M423" t="e">
        <f>INDEX(Data!AD:AD,MATCH($P423,Data!$AL:$AL,0))</f>
        <v>#N/A</v>
      </c>
      <c r="N423" t="e">
        <f>INDEX(Data!AF:AF,MATCH($P423,Data!$AL:$AL,0))</f>
        <v>#N/A</v>
      </c>
      <c r="O423" t="e">
        <f>INDEX(Data!Q:Q,MATCH($P423,Data!$AL:$AL,0))</f>
        <v>#N/A</v>
      </c>
      <c r="Q423" s="3" t="str">
        <f t="shared" si="6"/>
        <v>ACL</v>
      </c>
    </row>
    <row r="424" spans="1:17" x14ac:dyDescent="0.25">
      <c r="A424" s="3">
        <v>431</v>
      </c>
      <c r="B424" s="216" t="s">
        <v>43</v>
      </c>
      <c r="C424" s="7">
        <f>INDEX(Data!M:M,MATCH(Q424,Data!AM:AM,0))</f>
        <v>0</v>
      </c>
      <c r="D424" s="7">
        <f>INDEX(Data!O:O,MATCH(Q424,Data!AM:AM,0))</f>
        <v>0</v>
      </c>
      <c r="E424" t="e">
        <f>INDEX(Data!T:T,MATCH($P424,Data!$AL:$AL,0))</f>
        <v>#N/A</v>
      </c>
      <c r="F424" t="e">
        <f>INDEX(Data!P:P,MATCH($P424,Data!$AL:$AL,0))</f>
        <v>#N/A</v>
      </c>
      <c r="G424" t="e">
        <f>INDEX(Data!Z:Z,MATCH($P424,Data!$AL:$AL,0))</f>
        <v>#N/A</v>
      </c>
      <c r="H424" t="e">
        <f>INDEX(Data!AA:AA,MATCH($P424,Data!$AL:$AL,0))</f>
        <v>#N/A</v>
      </c>
      <c r="I424" t="e">
        <f>INDEX(Data!AB:AB,MATCH($P424,Data!$AL:$AL,0))</f>
        <v>#N/A</v>
      </c>
      <c r="J424" t="e">
        <f>INDEX(Data!V:V,MATCH($P424,Data!$AL:$AL,0))</f>
        <v>#N/A</v>
      </c>
      <c r="K424" t="e">
        <f>INDEX(Data!W:W,MATCH($P424,Data!$AL:$AL,0))</f>
        <v>#N/A</v>
      </c>
      <c r="L424" t="e">
        <f>INDEX(Data!X:X,MATCH($P424,Data!$AL:$AL,0))</f>
        <v>#N/A</v>
      </c>
      <c r="M424" t="e">
        <f>INDEX(Data!AD:AD,MATCH($P424,Data!$AL:$AL,0))</f>
        <v>#N/A</v>
      </c>
      <c r="N424" t="e">
        <f>INDEX(Data!AF:AF,MATCH($P424,Data!$AL:$AL,0))</f>
        <v>#N/A</v>
      </c>
      <c r="O424" t="e">
        <f>INDEX(Data!Q:Q,MATCH($P424,Data!$AL:$AL,0))</f>
        <v>#N/A</v>
      </c>
      <c r="Q424" s="3" t="str">
        <f t="shared" si="6"/>
        <v>SPCL</v>
      </c>
    </row>
    <row r="425" spans="1:17" x14ac:dyDescent="0.25">
      <c r="A425" s="4">
        <v>432</v>
      </c>
      <c r="B425" s="217" t="s">
        <v>44</v>
      </c>
      <c r="C425" s="8">
        <f>INDEX(Data!M:M,MATCH(Q425,Data!AM:AM,0))</f>
        <v>0</v>
      </c>
      <c r="D425" s="8">
        <f>INDEX(Data!O:O,MATCH(Q425,Data!AM:AM,0))</f>
        <v>0</v>
      </c>
      <c r="E425" s="1" t="e">
        <f>INDEX(Data!T:T,MATCH($P425,Data!$AL:$AL,0))</f>
        <v>#N/A</v>
      </c>
      <c r="F425" s="1" t="e">
        <f>INDEX(Data!P:P,MATCH($P425,Data!$AL:$AL,0))</f>
        <v>#N/A</v>
      </c>
      <c r="G425" s="1" t="e">
        <f>INDEX(Data!Z:Z,MATCH($P425,Data!$AL:$AL,0))</f>
        <v>#N/A</v>
      </c>
      <c r="H425" s="1" t="e">
        <f>INDEX(Data!AA:AA,MATCH($P425,Data!$AL:$AL,0))</f>
        <v>#N/A</v>
      </c>
      <c r="I425" s="1" t="e">
        <f>INDEX(Data!AB:AB,MATCH($P425,Data!$AL:$AL,0))</f>
        <v>#N/A</v>
      </c>
      <c r="J425" s="1" t="e">
        <f>INDEX(Data!V:V,MATCH($P425,Data!$AL:$AL,0))</f>
        <v>#N/A</v>
      </c>
      <c r="K425" s="1" t="e">
        <f>INDEX(Data!W:W,MATCH($P425,Data!$AL:$AL,0))</f>
        <v>#N/A</v>
      </c>
      <c r="L425" s="1" t="e">
        <f>INDEX(Data!X:X,MATCH($P425,Data!$AL:$AL,0))</f>
        <v>#N/A</v>
      </c>
      <c r="M425" s="1" t="e">
        <f>INDEX(Data!AD:AD,MATCH($P425,Data!$AL:$AL,0))</f>
        <v>#N/A</v>
      </c>
      <c r="N425" s="1" t="e">
        <f>INDEX(Data!AF:AF,MATCH($P425,Data!$AL:$AL,0))</f>
        <v>#N/A</v>
      </c>
      <c r="O425" s="1" t="e">
        <f>INDEX(Data!Q:Q,MATCH($P425,Data!$AL:$AL,0))</f>
        <v>#N/A</v>
      </c>
      <c r="P425" s="1"/>
      <c r="Q425" s="4" t="str">
        <f t="shared" si="6"/>
        <v>SPACL</v>
      </c>
    </row>
    <row r="426" spans="1:17" x14ac:dyDescent="0.25">
      <c r="A426" s="3">
        <v>433</v>
      </c>
      <c r="B426" s="218" t="s">
        <v>40</v>
      </c>
      <c r="C426" s="6">
        <f>INDEX(Data!M:M,MATCH(Q426,Data!AM:AM,0))</f>
        <v>0</v>
      </c>
      <c r="D426" s="6">
        <f>INDEX(Data!O:O,MATCH(Q426,Data!AM:AM,0))</f>
        <v>0</v>
      </c>
      <c r="E426" s="2" t="e">
        <f>INDEX(Data!T:T,MATCH($P426,Data!$AL:$AL,0))</f>
        <v>#N/A</v>
      </c>
      <c r="F426" s="2" t="e">
        <f>INDEX(Data!P:P,MATCH($P426,Data!$AL:$AL,0))</f>
        <v>#N/A</v>
      </c>
      <c r="G426" s="2" t="e">
        <f>INDEX(Data!Z:Z,MATCH($P426,Data!$AL:$AL,0))</f>
        <v>#N/A</v>
      </c>
      <c r="H426" s="2" t="e">
        <f>INDEX(Data!AA:AA,MATCH($P426,Data!$AL:$AL,0))</f>
        <v>#N/A</v>
      </c>
      <c r="I426" s="2" t="e">
        <f>INDEX(Data!AB:AB,MATCH($P426,Data!$AL:$AL,0))</f>
        <v>#N/A</v>
      </c>
      <c r="J426" s="2" t="e">
        <f>INDEX(Data!V:V,MATCH($P426,Data!$AL:$AL,0))</f>
        <v>#N/A</v>
      </c>
      <c r="K426" s="2" t="e">
        <f>INDEX(Data!W:W,MATCH($P426,Data!$AL:$AL,0))</f>
        <v>#N/A</v>
      </c>
      <c r="L426" s="2" t="e">
        <f>INDEX(Data!X:X,MATCH($P426,Data!$AL:$AL,0))</f>
        <v>#N/A</v>
      </c>
      <c r="M426" s="2" t="e">
        <f>INDEX(Data!AD:AD,MATCH($P426,Data!$AL:$AL,0))</f>
        <v>#N/A</v>
      </c>
      <c r="N426" s="2" t="e">
        <f>INDEX(Data!AF:AF,MATCH($P426,Data!$AL:$AL,0))</f>
        <v>#N/A</v>
      </c>
      <c r="O426" s="2" t="e">
        <f>INDEX(Data!Q:Q,MATCH($P426,Data!$AL:$AL,0))</f>
        <v>#N/A</v>
      </c>
      <c r="Q426" s="3" t="str">
        <f t="shared" si="6"/>
        <v>NCL</v>
      </c>
    </row>
    <row r="427" spans="1:17" x14ac:dyDescent="0.25">
      <c r="A427" s="3">
        <v>434</v>
      </c>
      <c r="B427" s="216" t="s">
        <v>41</v>
      </c>
      <c r="C427" s="7">
        <f>INDEX(Data!M:M,MATCH(Q427,Data!AM:AM,0))</f>
        <v>0</v>
      </c>
      <c r="D427" s="7">
        <f>INDEX(Data!O:O,MATCH(Q427,Data!AM:AM,0))</f>
        <v>0</v>
      </c>
      <c r="E427" t="e">
        <f>INDEX(Data!T:T,MATCH($P427,Data!$AL:$AL,0))</f>
        <v>#N/A</v>
      </c>
      <c r="F427" t="e">
        <f>INDEX(Data!P:P,MATCH($P427,Data!$AL:$AL,0))</f>
        <v>#N/A</v>
      </c>
      <c r="G427" t="e">
        <f>INDEX(Data!Z:Z,MATCH($P427,Data!$AL:$AL,0))</f>
        <v>#N/A</v>
      </c>
      <c r="H427" t="e">
        <f>INDEX(Data!AA:AA,MATCH($P427,Data!$AL:$AL,0))</f>
        <v>#N/A</v>
      </c>
      <c r="I427" t="e">
        <f>INDEX(Data!AB:AB,MATCH($P427,Data!$AL:$AL,0))</f>
        <v>#N/A</v>
      </c>
      <c r="J427" t="e">
        <f>INDEX(Data!V:V,MATCH($P427,Data!$AL:$AL,0))</f>
        <v>#N/A</v>
      </c>
      <c r="K427" t="e">
        <f>INDEX(Data!W:W,MATCH($P427,Data!$AL:$AL,0))</f>
        <v>#N/A</v>
      </c>
      <c r="L427" t="e">
        <f>INDEX(Data!X:X,MATCH($P427,Data!$AL:$AL,0))</f>
        <v>#N/A</v>
      </c>
      <c r="M427" t="e">
        <f>INDEX(Data!AD:AD,MATCH($P427,Data!$AL:$AL,0))</f>
        <v>#N/A</v>
      </c>
      <c r="N427" t="e">
        <f>INDEX(Data!AF:AF,MATCH($P427,Data!$AL:$AL,0))</f>
        <v>#N/A</v>
      </c>
      <c r="O427" t="e">
        <f>INDEX(Data!Q:Q,MATCH($P427,Data!$AL:$AL,0))</f>
        <v>#N/A</v>
      </c>
      <c r="Q427" s="3" t="str">
        <f t="shared" si="6"/>
        <v>CL</v>
      </c>
    </row>
    <row r="428" spans="1:17" x14ac:dyDescent="0.25">
      <c r="A428" s="3">
        <v>435</v>
      </c>
      <c r="B428" s="216" t="s">
        <v>42</v>
      </c>
      <c r="C428" s="7">
        <f>INDEX(Data!M:M,MATCH(Q428,Data!AM:AM,0))</f>
        <v>0</v>
      </c>
      <c r="D428" s="7">
        <f>INDEX(Data!O:O,MATCH(Q428,Data!AM:AM,0))</f>
        <v>0</v>
      </c>
      <c r="E428" t="e">
        <f>INDEX(Data!T:T,MATCH($P428,Data!$AL:$AL,0))</f>
        <v>#N/A</v>
      </c>
      <c r="F428" t="e">
        <f>INDEX(Data!P:P,MATCH($P428,Data!$AL:$AL,0))</f>
        <v>#N/A</v>
      </c>
      <c r="G428" t="e">
        <f>INDEX(Data!Z:Z,MATCH($P428,Data!$AL:$AL,0))</f>
        <v>#N/A</v>
      </c>
      <c r="H428" t="e">
        <f>INDEX(Data!AA:AA,MATCH($P428,Data!$AL:$AL,0))</f>
        <v>#N/A</v>
      </c>
      <c r="I428" t="e">
        <f>INDEX(Data!AB:AB,MATCH($P428,Data!$AL:$AL,0))</f>
        <v>#N/A</v>
      </c>
      <c r="J428" t="e">
        <f>INDEX(Data!V:V,MATCH($P428,Data!$AL:$AL,0))</f>
        <v>#N/A</v>
      </c>
      <c r="K428" t="e">
        <f>INDEX(Data!W:W,MATCH($P428,Data!$AL:$AL,0))</f>
        <v>#N/A</v>
      </c>
      <c r="L428" t="e">
        <f>INDEX(Data!X:X,MATCH($P428,Data!$AL:$AL,0))</f>
        <v>#N/A</v>
      </c>
      <c r="M428" t="e">
        <f>INDEX(Data!AD:AD,MATCH($P428,Data!$AL:$AL,0))</f>
        <v>#N/A</v>
      </c>
      <c r="N428" t="e">
        <f>INDEX(Data!AF:AF,MATCH($P428,Data!$AL:$AL,0))</f>
        <v>#N/A</v>
      </c>
      <c r="O428" t="e">
        <f>INDEX(Data!Q:Q,MATCH($P428,Data!$AL:$AL,0))</f>
        <v>#N/A</v>
      </c>
      <c r="Q428" s="3" t="str">
        <f t="shared" si="6"/>
        <v>ACL</v>
      </c>
    </row>
    <row r="429" spans="1:17" x14ac:dyDescent="0.25">
      <c r="A429" s="3">
        <v>436</v>
      </c>
      <c r="B429" s="216" t="s">
        <v>43</v>
      </c>
      <c r="C429" s="7">
        <f>INDEX(Data!M:M,MATCH(Q429,Data!AM:AM,0))</f>
        <v>0</v>
      </c>
      <c r="D429" s="7">
        <f>INDEX(Data!O:O,MATCH(Q429,Data!AM:AM,0))</f>
        <v>0</v>
      </c>
      <c r="E429" t="e">
        <f>INDEX(Data!T:T,MATCH($P429,Data!$AL:$AL,0))</f>
        <v>#N/A</v>
      </c>
      <c r="F429" t="e">
        <f>INDEX(Data!P:P,MATCH($P429,Data!$AL:$AL,0))</f>
        <v>#N/A</v>
      </c>
      <c r="G429" t="e">
        <f>INDEX(Data!Z:Z,MATCH($P429,Data!$AL:$AL,0))</f>
        <v>#N/A</v>
      </c>
      <c r="H429" t="e">
        <f>INDEX(Data!AA:AA,MATCH($P429,Data!$AL:$AL,0))</f>
        <v>#N/A</v>
      </c>
      <c r="I429" t="e">
        <f>INDEX(Data!AB:AB,MATCH($P429,Data!$AL:$AL,0))</f>
        <v>#N/A</v>
      </c>
      <c r="J429" t="e">
        <f>INDEX(Data!V:V,MATCH($P429,Data!$AL:$AL,0))</f>
        <v>#N/A</v>
      </c>
      <c r="K429" t="e">
        <f>INDEX(Data!W:W,MATCH($P429,Data!$AL:$AL,0))</f>
        <v>#N/A</v>
      </c>
      <c r="L429" t="e">
        <f>INDEX(Data!X:X,MATCH($P429,Data!$AL:$AL,0))</f>
        <v>#N/A</v>
      </c>
      <c r="M429" t="e">
        <f>INDEX(Data!AD:AD,MATCH($P429,Data!$AL:$AL,0))</f>
        <v>#N/A</v>
      </c>
      <c r="N429" t="e">
        <f>INDEX(Data!AF:AF,MATCH($P429,Data!$AL:$AL,0))</f>
        <v>#N/A</v>
      </c>
      <c r="O429" t="e">
        <f>INDEX(Data!Q:Q,MATCH($P429,Data!$AL:$AL,0))</f>
        <v>#N/A</v>
      </c>
      <c r="Q429" s="3" t="str">
        <f t="shared" si="6"/>
        <v>SPCL</v>
      </c>
    </row>
    <row r="430" spans="1:17" x14ac:dyDescent="0.25">
      <c r="A430" s="4">
        <v>437</v>
      </c>
      <c r="B430" s="217" t="s">
        <v>44</v>
      </c>
      <c r="C430" s="8">
        <f>INDEX(Data!M:M,MATCH(Q430,Data!AM:AM,0))</f>
        <v>0</v>
      </c>
      <c r="D430" s="8">
        <f>INDEX(Data!O:O,MATCH(Q430,Data!AM:AM,0))</f>
        <v>0</v>
      </c>
      <c r="E430" s="1" t="e">
        <f>INDEX(Data!T:T,MATCH($P430,Data!$AL:$AL,0))</f>
        <v>#N/A</v>
      </c>
      <c r="F430" s="1" t="e">
        <f>INDEX(Data!P:P,MATCH($P430,Data!$AL:$AL,0))</f>
        <v>#N/A</v>
      </c>
      <c r="G430" s="1" t="e">
        <f>INDEX(Data!Z:Z,MATCH($P430,Data!$AL:$AL,0))</f>
        <v>#N/A</v>
      </c>
      <c r="H430" s="1" t="e">
        <f>INDEX(Data!AA:AA,MATCH($P430,Data!$AL:$AL,0))</f>
        <v>#N/A</v>
      </c>
      <c r="I430" s="1" t="e">
        <f>INDEX(Data!AB:AB,MATCH($P430,Data!$AL:$AL,0))</f>
        <v>#N/A</v>
      </c>
      <c r="J430" s="1" t="e">
        <f>INDEX(Data!V:V,MATCH($P430,Data!$AL:$AL,0))</f>
        <v>#N/A</v>
      </c>
      <c r="K430" s="1" t="e">
        <f>INDEX(Data!W:W,MATCH($P430,Data!$AL:$AL,0))</f>
        <v>#N/A</v>
      </c>
      <c r="L430" s="1" t="e">
        <f>INDEX(Data!X:X,MATCH($P430,Data!$AL:$AL,0))</f>
        <v>#N/A</v>
      </c>
      <c r="M430" s="1" t="e">
        <f>INDEX(Data!AD:AD,MATCH($P430,Data!$AL:$AL,0))</f>
        <v>#N/A</v>
      </c>
      <c r="N430" s="1" t="e">
        <f>INDEX(Data!AF:AF,MATCH($P430,Data!$AL:$AL,0))</f>
        <v>#N/A</v>
      </c>
      <c r="O430" s="1" t="e">
        <f>INDEX(Data!Q:Q,MATCH($P430,Data!$AL:$AL,0))</f>
        <v>#N/A</v>
      </c>
      <c r="P430" s="1"/>
      <c r="Q430" s="4" t="str">
        <f t="shared" si="6"/>
        <v>SPACL</v>
      </c>
    </row>
    <row r="431" spans="1:17" x14ac:dyDescent="0.25">
      <c r="A431" s="3">
        <v>438</v>
      </c>
      <c r="B431" s="218" t="s">
        <v>40</v>
      </c>
      <c r="C431" s="6">
        <f>INDEX(Data!M:M,MATCH(Q431,Data!AM:AM,0))</f>
        <v>0</v>
      </c>
      <c r="D431" s="6">
        <f>INDEX(Data!O:O,MATCH(Q431,Data!AM:AM,0))</f>
        <v>0</v>
      </c>
      <c r="E431" s="2" t="e">
        <f>INDEX(Data!T:T,MATCH($P431,Data!$AL:$AL,0))</f>
        <v>#N/A</v>
      </c>
      <c r="F431" s="2" t="e">
        <f>INDEX(Data!P:P,MATCH($P431,Data!$AL:$AL,0))</f>
        <v>#N/A</v>
      </c>
      <c r="G431" s="2" t="e">
        <f>INDEX(Data!Z:Z,MATCH($P431,Data!$AL:$AL,0))</f>
        <v>#N/A</v>
      </c>
      <c r="H431" s="2" t="e">
        <f>INDEX(Data!AA:AA,MATCH($P431,Data!$AL:$AL,0))</f>
        <v>#N/A</v>
      </c>
      <c r="I431" s="2" t="e">
        <f>INDEX(Data!AB:AB,MATCH($P431,Data!$AL:$AL,0))</f>
        <v>#N/A</v>
      </c>
      <c r="J431" s="2" t="e">
        <f>INDEX(Data!V:V,MATCH($P431,Data!$AL:$AL,0))</f>
        <v>#N/A</v>
      </c>
      <c r="K431" s="2" t="e">
        <f>INDEX(Data!W:W,MATCH($P431,Data!$AL:$AL,0))</f>
        <v>#N/A</v>
      </c>
      <c r="L431" s="2" t="e">
        <f>INDEX(Data!X:X,MATCH($P431,Data!$AL:$AL,0))</f>
        <v>#N/A</v>
      </c>
      <c r="M431" s="2" t="e">
        <f>INDEX(Data!AD:AD,MATCH($P431,Data!$AL:$AL,0))</f>
        <v>#N/A</v>
      </c>
      <c r="N431" s="2" t="e">
        <f>INDEX(Data!AF:AF,MATCH($P431,Data!$AL:$AL,0))</f>
        <v>#N/A</v>
      </c>
      <c r="O431" s="2" t="e">
        <f>INDEX(Data!Q:Q,MATCH($P431,Data!$AL:$AL,0))</f>
        <v>#N/A</v>
      </c>
      <c r="Q431" s="3" t="str">
        <f t="shared" si="6"/>
        <v>NCL</v>
      </c>
    </row>
    <row r="432" spans="1:17" x14ac:dyDescent="0.25">
      <c r="A432" s="3">
        <v>439</v>
      </c>
      <c r="B432" s="216" t="s">
        <v>41</v>
      </c>
      <c r="C432" s="7">
        <f>INDEX(Data!M:M,MATCH(Q432,Data!AM:AM,0))</f>
        <v>0</v>
      </c>
      <c r="D432" s="7">
        <f>INDEX(Data!O:O,MATCH(Q432,Data!AM:AM,0))</f>
        <v>0</v>
      </c>
      <c r="E432" t="e">
        <f>INDEX(Data!T:T,MATCH($P432,Data!$AL:$AL,0))</f>
        <v>#N/A</v>
      </c>
      <c r="F432" t="e">
        <f>INDEX(Data!P:P,MATCH($P432,Data!$AL:$AL,0))</f>
        <v>#N/A</v>
      </c>
      <c r="G432" t="e">
        <f>INDEX(Data!Z:Z,MATCH($P432,Data!$AL:$AL,0))</f>
        <v>#N/A</v>
      </c>
      <c r="H432" t="e">
        <f>INDEX(Data!AA:AA,MATCH($P432,Data!$AL:$AL,0))</f>
        <v>#N/A</v>
      </c>
      <c r="I432" t="e">
        <f>INDEX(Data!AB:AB,MATCH($P432,Data!$AL:$AL,0))</f>
        <v>#N/A</v>
      </c>
      <c r="J432" t="e">
        <f>INDEX(Data!V:V,MATCH($P432,Data!$AL:$AL,0))</f>
        <v>#N/A</v>
      </c>
      <c r="K432" t="e">
        <f>INDEX(Data!W:W,MATCH($P432,Data!$AL:$AL,0))</f>
        <v>#N/A</v>
      </c>
      <c r="L432" t="e">
        <f>INDEX(Data!X:X,MATCH($P432,Data!$AL:$AL,0))</f>
        <v>#N/A</v>
      </c>
      <c r="M432" t="e">
        <f>INDEX(Data!AD:AD,MATCH($P432,Data!$AL:$AL,0))</f>
        <v>#N/A</v>
      </c>
      <c r="N432" t="e">
        <f>INDEX(Data!AF:AF,MATCH($P432,Data!$AL:$AL,0))</f>
        <v>#N/A</v>
      </c>
      <c r="O432" t="e">
        <f>INDEX(Data!Q:Q,MATCH($P432,Data!$AL:$AL,0))</f>
        <v>#N/A</v>
      </c>
      <c r="Q432" s="3" t="str">
        <f t="shared" si="6"/>
        <v>CL</v>
      </c>
    </row>
    <row r="433" spans="1:17" x14ac:dyDescent="0.25">
      <c r="A433" s="3">
        <v>440</v>
      </c>
      <c r="B433" s="216" t="s">
        <v>42</v>
      </c>
      <c r="C433" s="7">
        <f>INDEX(Data!M:M,MATCH(Q433,Data!AM:AM,0))</f>
        <v>0</v>
      </c>
      <c r="D433" s="7">
        <f>INDEX(Data!O:O,MATCH(Q433,Data!AM:AM,0))</f>
        <v>0</v>
      </c>
      <c r="E433" t="e">
        <f>INDEX(Data!T:T,MATCH($P433,Data!$AL:$AL,0))</f>
        <v>#N/A</v>
      </c>
      <c r="F433" t="e">
        <f>INDEX(Data!P:P,MATCH($P433,Data!$AL:$AL,0))</f>
        <v>#N/A</v>
      </c>
      <c r="G433" t="e">
        <f>INDEX(Data!Z:Z,MATCH($P433,Data!$AL:$AL,0))</f>
        <v>#N/A</v>
      </c>
      <c r="H433" t="e">
        <f>INDEX(Data!AA:AA,MATCH($P433,Data!$AL:$AL,0))</f>
        <v>#N/A</v>
      </c>
      <c r="I433" t="e">
        <f>INDEX(Data!AB:AB,MATCH($P433,Data!$AL:$AL,0))</f>
        <v>#N/A</v>
      </c>
      <c r="J433" t="e">
        <f>INDEX(Data!V:V,MATCH($P433,Data!$AL:$AL,0))</f>
        <v>#N/A</v>
      </c>
      <c r="K433" t="e">
        <f>INDEX(Data!W:W,MATCH($P433,Data!$AL:$AL,0))</f>
        <v>#N/A</v>
      </c>
      <c r="L433" t="e">
        <f>INDEX(Data!X:X,MATCH($P433,Data!$AL:$AL,0))</f>
        <v>#N/A</v>
      </c>
      <c r="M433" t="e">
        <f>INDEX(Data!AD:AD,MATCH($P433,Data!$AL:$AL,0))</f>
        <v>#N/A</v>
      </c>
      <c r="N433" t="e">
        <f>INDEX(Data!AF:AF,MATCH($P433,Data!$AL:$AL,0))</f>
        <v>#N/A</v>
      </c>
      <c r="O433" t="e">
        <f>INDEX(Data!Q:Q,MATCH($P433,Data!$AL:$AL,0))</f>
        <v>#N/A</v>
      </c>
      <c r="Q433" s="3" t="str">
        <f t="shared" si="6"/>
        <v>ACL</v>
      </c>
    </row>
    <row r="434" spans="1:17" x14ac:dyDescent="0.25">
      <c r="A434" s="3">
        <v>441</v>
      </c>
      <c r="B434" s="216" t="s">
        <v>43</v>
      </c>
      <c r="C434" s="7">
        <f>INDEX(Data!M:M,MATCH(Q434,Data!AM:AM,0))</f>
        <v>0</v>
      </c>
      <c r="D434" s="7">
        <f>INDEX(Data!O:O,MATCH(Q434,Data!AM:AM,0))</f>
        <v>0</v>
      </c>
      <c r="E434" t="e">
        <f>INDEX(Data!T:T,MATCH($P434,Data!$AL:$AL,0))</f>
        <v>#N/A</v>
      </c>
      <c r="F434" t="e">
        <f>INDEX(Data!P:P,MATCH($P434,Data!$AL:$AL,0))</f>
        <v>#N/A</v>
      </c>
      <c r="G434" t="e">
        <f>INDEX(Data!Z:Z,MATCH($P434,Data!$AL:$AL,0))</f>
        <v>#N/A</v>
      </c>
      <c r="H434" t="e">
        <f>INDEX(Data!AA:AA,MATCH($P434,Data!$AL:$AL,0))</f>
        <v>#N/A</v>
      </c>
      <c r="I434" t="e">
        <f>INDEX(Data!AB:AB,MATCH($P434,Data!$AL:$AL,0))</f>
        <v>#N/A</v>
      </c>
      <c r="J434" t="e">
        <f>INDEX(Data!V:V,MATCH($P434,Data!$AL:$AL,0))</f>
        <v>#N/A</v>
      </c>
      <c r="K434" t="e">
        <f>INDEX(Data!W:W,MATCH($P434,Data!$AL:$AL,0))</f>
        <v>#N/A</v>
      </c>
      <c r="L434" t="e">
        <f>INDEX(Data!X:X,MATCH($P434,Data!$AL:$AL,0))</f>
        <v>#N/A</v>
      </c>
      <c r="M434" t="e">
        <f>INDEX(Data!AD:AD,MATCH($P434,Data!$AL:$AL,0))</f>
        <v>#N/A</v>
      </c>
      <c r="N434" t="e">
        <f>INDEX(Data!AF:AF,MATCH($P434,Data!$AL:$AL,0))</f>
        <v>#N/A</v>
      </c>
      <c r="O434" t="e">
        <f>INDEX(Data!Q:Q,MATCH($P434,Data!$AL:$AL,0))</f>
        <v>#N/A</v>
      </c>
      <c r="Q434" s="3" t="str">
        <f t="shared" si="6"/>
        <v>SPCL</v>
      </c>
    </row>
    <row r="435" spans="1:17" x14ac:dyDescent="0.25">
      <c r="A435" s="4">
        <v>442</v>
      </c>
      <c r="B435" s="217" t="s">
        <v>44</v>
      </c>
      <c r="C435" s="8">
        <f>INDEX(Data!M:M,MATCH(Q435,Data!AM:AM,0))</f>
        <v>0</v>
      </c>
      <c r="D435" s="8">
        <f>INDEX(Data!O:O,MATCH(Q435,Data!AM:AM,0))</f>
        <v>0</v>
      </c>
      <c r="E435" s="1" t="e">
        <f>INDEX(Data!T:T,MATCH($P435,Data!$AL:$AL,0))</f>
        <v>#N/A</v>
      </c>
      <c r="F435" s="1" t="e">
        <f>INDEX(Data!P:P,MATCH($P435,Data!$AL:$AL,0))</f>
        <v>#N/A</v>
      </c>
      <c r="G435" s="1" t="e">
        <f>INDEX(Data!Z:Z,MATCH($P435,Data!$AL:$AL,0))</f>
        <v>#N/A</v>
      </c>
      <c r="H435" s="1" t="e">
        <f>INDEX(Data!AA:AA,MATCH($P435,Data!$AL:$AL,0))</f>
        <v>#N/A</v>
      </c>
      <c r="I435" s="1" t="e">
        <f>INDEX(Data!AB:AB,MATCH($P435,Data!$AL:$AL,0))</f>
        <v>#N/A</v>
      </c>
      <c r="J435" s="1" t="e">
        <f>INDEX(Data!V:V,MATCH($P435,Data!$AL:$AL,0))</f>
        <v>#N/A</v>
      </c>
      <c r="K435" s="1" t="e">
        <f>INDEX(Data!W:W,MATCH($P435,Data!$AL:$AL,0))</f>
        <v>#N/A</v>
      </c>
      <c r="L435" s="1" t="e">
        <f>INDEX(Data!X:X,MATCH($P435,Data!$AL:$AL,0))</f>
        <v>#N/A</v>
      </c>
      <c r="M435" s="1" t="e">
        <f>INDEX(Data!AD:AD,MATCH($P435,Data!$AL:$AL,0))</f>
        <v>#N/A</v>
      </c>
      <c r="N435" s="1" t="e">
        <f>INDEX(Data!AF:AF,MATCH($P435,Data!$AL:$AL,0))</f>
        <v>#N/A</v>
      </c>
      <c r="O435" s="1" t="e">
        <f>INDEX(Data!Q:Q,MATCH($P435,Data!$AL:$AL,0))</f>
        <v>#N/A</v>
      </c>
      <c r="P435" s="1"/>
      <c r="Q435" s="4" t="str">
        <f t="shared" si="6"/>
        <v>SPACL</v>
      </c>
    </row>
    <row r="436" spans="1:17" x14ac:dyDescent="0.25">
      <c r="A436" s="3">
        <v>443</v>
      </c>
      <c r="B436" s="218" t="s">
        <v>40</v>
      </c>
      <c r="C436" s="6">
        <f>INDEX(Data!M:M,MATCH(Q436,Data!AM:AM,0))</f>
        <v>0</v>
      </c>
      <c r="D436" s="6">
        <f>INDEX(Data!O:O,MATCH(Q436,Data!AM:AM,0))</f>
        <v>0</v>
      </c>
      <c r="E436" s="2" t="e">
        <f>INDEX(Data!T:T,MATCH($P436,Data!$AL:$AL,0))</f>
        <v>#N/A</v>
      </c>
      <c r="F436" s="2" t="e">
        <f>INDEX(Data!P:P,MATCH($P436,Data!$AL:$AL,0))</f>
        <v>#N/A</v>
      </c>
      <c r="G436" s="2" t="e">
        <f>INDEX(Data!Z:Z,MATCH($P436,Data!$AL:$AL,0))</f>
        <v>#N/A</v>
      </c>
      <c r="H436" s="2" t="e">
        <f>INDEX(Data!AA:AA,MATCH($P436,Data!$AL:$AL,0))</f>
        <v>#N/A</v>
      </c>
      <c r="I436" s="2" t="e">
        <f>INDEX(Data!AB:AB,MATCH($P436,Data!$AL:$AL,0))</f>
        <v>#N/A</v>
      </c>
      <c r="J436" s="2" t="e">
        <f>INDEX(Data!V:V,MATCH($P436,Data!$AL:$AL,0))</f>
        <v>#N/A</v>
      </c>
      <c r="K436" s="2" t="e">
        <f>INDEX(Data!W:W,MATCH($P436,Data!$AL:$AL,0))</f>
        <v>#N/A</v>
      </c>
      <c r="L436" s="2" t="e">
        <f>INDEX(Data!X:X,MATCH($P436,Data!$AL:$AL,0))</f>
        <v>#N/A</v>
      </c>
      <c r="M436" s="2" t="e">
        <f>INDEX(Data!AD:AD,MATCH($P436,Data!$AL:$AL,0))</f>
        <v>#N/A</v>
      </c>
      <c r="N436" s="2" t="e">
        <f>INDEX(Data!AF:AF,MATCH($P436,Data!$AL:$AL,0))</f>
        <v>#N/A</v>
      </c>
      <c r="O436" s="2" t="e">
        <f>INDEX(Data!Q:Q,MATCH($P436,Data!$AL:$AL,0))</f>
        <v>#N/A</v>
      </c>
      <c r="Q436" s="3" t="str">
        <f t="shared" si="6"/>
        <v>NCL</v>
      </c>
    </row>
    <row r="437" spans="1:17" x14ac:dyDescent="0.25">
      <c r="A437" s="3">
        <v>444</v>
      </c>
      <c r="B437" s="216" t="s">
        <v>41</v>
      </c>
      <c r="C437" s="7">
        <f>INDEX(Data!M:M,MATCH(Q437,Data!AM:AM,0))</f>
        <v>0</v>
      </c>
      <c r="D437" s="7">
        <f>INDEX(Data!O:O,MATCH(Q437,Data!AM:AM,0))</f>
        <v>0</v>
      </c>
      <c r="E437" t="e">
        <f>INDEX(Data!T:T,MATCH($P437,Data!$AL:$AL,0))</f>
        <v>#N/A</v>
      </c>
      <c r="F437" t="e">
        <f>INDEX(Data!P:P,MATCH($P437,Data!$AL:$AL,0))</f>
        <v>#N/A</v>
      </c>
      <c r="G437" t="e">
        <f>INDEX(Data!Z:Z,MATCH($P437,Data!$AL:$AL,0))</f>
        <v>#N/A</v>
      </c>
      <c r="H437" t="e">
        <f>INDEX(Data!AA:AA,MATCH($P437,Data!$AL:$AL,0))</f>
        <v>#N/A</v>
      </c>
      <c r="I437" t="e">
        <f>INDEX(Data!AB:AB,MATCH($P437,Data!$AL:$AL,0))</f>
        <v>#N/A</v>
      </c>
      <c r="J437" t="e">
        <f>INDEX(Data!V:V,MATCH($P437,Data!$AL:$AL,0))</f>
        <v>#N/A</v>
      </c>
      <c r="K437" t="e">
        <f>INDEX(Data!W:W,MATCH($P437,Data!$AL:$AL,0))</f>
        <v>#N/A</v>
      </c>
      <c r="L437" t="e">
        <f>INDEX(Data!X:X,MATCH($P437,Data!$AL:$AL,0))</f>
        <v>#N/A</v>
      </c>
      <c r="M437" t="e">
        <f>INDEX(Data!AD:AD,MATCH($P437,Data!$AL:$AL,0))</f>
        <v>#N/A</v>
      </c>
      <c r="N437" t="e">
        <f>INDEX(Data!AF:AF,MATCH($P437,Data!$AL:$AL,0))</f>
        <v>#N/A</v>
      </c>
      <c r="O437" t="e">
        <f>INDEX(Data!Q:Q,MATCH($P437,Data!$AL:$AL,0))</f>
        <v>#N/A</v>
      </c>
      <c r="Q437" s="3" t="str">
        <f t="shared" si="6"/>
        <v>CL</v>
      </c>
    </row>
    <row r="438" spans="1:17" x14ac:dyDescent="0.25">
      <c r="A438" s="3">
        <v>445</v>
      </c>
      <c r="B438" s="216" t="s">
        <v>42</v>
      </c>
      <c r="C438" s="7">
        <f>INDEX(Data!M:M,MATCH(Q438,Data!AM:AM,0))</f>
        <v>0</v>
      </c>
      <c r="D438" s="7">
        <f>INDEX(Data!O:O,MATCH(Q438,Data!AM:AM,0))</f>
        <v>0</v>
      </c>
      <c r="E438" t="e">
        <f>INDEX(Data!T:T,MATCH($P438,Data!$AL:$AL,0))</f>
        <v>#N/A</v>
      </c>
      <c r="F438" t="e">
        <f>INDEX(Data!P:P,MATCH($P438,Data!$AL:$AL,0))</f>
        <v>#N/A</v>
      </c>
      <c r="G438" t="e">
        <f>INDEX(Data!Z:Z,MATCH($P438,Data!$AL:$AL,0))</f>
        <v>#N/A</v>
      </c>
      <c r="H438" t="e">
        <f>INDEX(Data!AA:AA,MATCH($P438,Data!$AL:$AL,0))</f>
        <v>#N/A</v>
      </c>
      <c r="I438" t="e">
        <f>INDEX(Data!AB:AB,MATCH($P438,Data!$AL:$AL,0))</f>
        <v>#N/A</v>
      </c>
      <c r="J438" t="e">
        <f>INDEX(Data!V:V,MATCH($P438,Data!$AL:$AL,0))</f>
        <v>#N/A</v>
      </c>
      <c r="K438" t="e">
        <f>INDEX(Data!W:W,MATCH($P438,Data!$AL:$AL,0))</f>
        <v>#N/A</v>
      </c>
      <c r="L438" t="e">
        <f>INDEX(Data!X:X,MATCH($P438,Data!$AL:$AL,0))</f>
        <v>#N/A</v>
      </c>
      <c r="M438" t="e">
        <f>INDEX(Data!AD:AD,MATCH($P438,Data!$AL:$AL,0))</f>
        <v>#N/A</v>
      </c>
      <c r="N438" t="e">
        <f>INDEX(Data!AF:AF,MATCH($P438,Data!$AL:$AL,0))</f>
        <v>#N/A</v>
      </c>
      <c r="O438" t="e">
        <f>INDEX(Data!Q:Q,MATCH($P438,Data!$AL:$AL,0))</f>
        <v>#N/A</v>
      </c>
      <c r="Q438" s="3" t="str">
        <f t="shared" si="6"/>
        <v>ACL</v>
      </c>
    </row>
    <row r="439" spans="1:17" x14ac:dyDescent="0.25">
      <c r="A439" s="3">
        <v>446</v>
      </c>
      <c r="B439" s="216" t="s">
        <v>43</v>
      </c>
      <c r="C439" s="7">
        <f>INDEX(Data!M:M,MATCH(Q439,Data!AM:AM,0))</f>
        <v>0</v>
      </c>
      <c r="D439" s="7">
        <f>INDEX(Data!O:O,MATCH(Q439,Data!AM:AM,0))</f>
        <v>0</v>
      </c>
      <c r="E439" t="e">
        <f>INDEX(Data!T:T,MATCH($P439,Data!$AL:$AL,0))</f>
        <v>#N/A</v>
      </c>
      <c r="F439" t="e">
        <f>INDEX(Data!P:P,MATCH($P439,Data!$AL:$AL,0))</f>
        <v>#N/A</v>
      </c>
      <c r="G439" t="e">
        <f>INDEX(Data!Z:Z,MATCH($P439,Data!$AL:$AL,0))</f>
        <v>#N/A</v>
      </c>
      <c r="H439" t="e">
        <f>INDEX(Data!AA:AA,MATCH($P439,Data!$AL:$AL,0))</f>
        <v>#N/A</v>
      </c>
      <c r="I439" t="e">
        <f>INDEX(Data!AB:AB,MATCH($P439,Data!$AL:$AL,0))</f>
        <v>#N/A</v>
      </c>
      <c r="J439" t="e">
        <f>INDEX(Data!V:V,MATCH($P439,Data!$AL:$AL,0))</f>
        <v>#N/A</v>
      </c>
      <c r="K439" t="e">
        <f>INDEX(Data!W:W,MATCH($P439,Data!$AL:$AL,0))</f>
        <v>#N/A</v>
      </c>
      <c r="L439" t="e">
        <f>INDEX(Data!X:X,MATCH($P439,Data!$AL:$AL,0))</f>
        <v>#N/A</v>
      </c>
      <c r="M439" t="e">
        <f>INDEX(Data!AD:AD,MATCH($P439,Data!$AL:$AL,0))</f>
        <v>#N/A</v>
      </c>
      <c r="N439" t="e">
        <f>INDEX(Data!AF:AF,MATCH($P439,Data!$AL:$AL,0))</f>
        <v>#N/A</v>
      </c>
      <c r="O439" t="e">
        <f>INDEX(Data!Q:Q,MATCH($P439,Data!$AL:$AL,0))</f>
        <v>#N/A</v>
      </c>
      <c r="Q439" s="3" t="str">
        <f t="shared" si="6"/>
        <v>SPCL</v>
      </c>
    </row>
    <row r="440" spans="1:17" x14ac:dyDescent="0.25">
      <c r="A440" s="4">
        <v>447</v>
      </c>
      <c r="B440" s="217" t="s">
        <v>44</v>
      </c>
      <c r="C440" s="8">
        <f>INDEX(Data!M:M,MATCH(Q440,Data!AM:AM,0))</f>
        <v>0</v>
      </c>
      <c r="D440" s="8">
        <f>INDEX(Data!O:O,MATCH(Q440,Data!AM:AM,0))</f>
        <v>0</v>
      </c>
      <c r="E440" s="1" t="e">
        <f>INDEX(Data!T:T,MATCH($P440,Data!$AL:$AL,0))</f>
        <v>#N/A</v>
      </c>
      <c r="F440" s="1" t="e">
        <f>INDEX(Data!P:P,MATCH($P440,Data!$AL:$AL,0))</f>
        <v>#N/A</v>
      </c>
      <c r="G440" s="1" t="e">
        <f>INDEX(Data!Z:Z,MATCH($P440,Data!$AL:$AL,0))</f>
        <v>#N/A</v>
      </c>
      <c r="H440" s="1" t="e">
        <f>INDEX(Data!AA:AA,MATCH($P440,Data!$AL:$AL,0))</f>
        <v>#N/A</v>
      </c>
      <c r="I440" s="1" t="e">
        <f>INDEX(Data!AB:AB,MATCH($P440,Data!$AL:$AL,0))</f>
        <v>#N/A</v>
      </c>
      <c r="J440" s="1" t="e">
        <f>INDEX(Data!V:V,MATCH($P440,Data!$AL:$AL,0))</f>
        <v>#N/A</v>
      </c>
      <c r="K440" s="1" t="e">
        <f>INDEX(Data!W:W,MATCH($P440,Data!$AL:$AL,0))</f>
        <v>#N/A</v>
      </c>
      <c r="L440" s="1" t="e">
        <f>INDEX(Data!X:X,MATCH($P440,Data!$AL:$AL,0))</f>
        <v>#N/A</v>
      </c>
      <c r="M440" s="1" t="e">
        <f>INDEX(Data!AD:AD,MATCH($P440,Data!$AL:$AL,0))</f>
        <v>#N/A</v>
      </c>
      <c r="N440" s="1" t="e">
        <f>INDEX(Data!AF:AF,MATCH($P440,Data!$AL:$AL,0))</f>
        <v>#N/A</v>
      </c>
      <c r="O440" s="1" t="e">
        <f>INDEX(Data!Q:Q,MATCH($P440,Data!$AL:$AL,0))</f>
        <v>#N/A</v>
      </c>
      <c r="P440" s="1"/>
      <c r="Q440" s="4" t="str">
        <f t="shared" si="6"/>
        <v>SPACL</v>
      </c>
    </row>
    <row r="441" spans="1:17" x14ac:dyDescent="0.25">
      <c r="A441" s="3">
        <v>448</v>
      </c>
      <c r="B441" s="218" t="s">
        <v>40</v>
      </c>
      <c r="C441" s="6">
        <f>INDEX(Data!M:M,MATCH(Q441,Data!AM:AM,0))</f>
        <v>0</v>
      </c>
      <c r="D441" s="6">
        <f>INDEX(Data!O:O,MATCH(Q441,Data!AM:AM,0))</f>
        <v>0</v>
      </c>
      <c r="E441" s="2" t="e">
        <f>INDEX(Data!T:T,MATCH($P441,Data!$AL:$AL,0))</f>
        <v>#N/A</v>
      </c>
      <c r="F441" s="2" t="e">
        <f>INDEX(Data!P:P,MATCH($P441,Data!$AL:$AL,0))</f>
        <v>#N/A</v>
      </c>
      <c r="G441" s="2" t="e">
        <f>INDEX(Data!Z:Z,MATCH($P441,Data!$AL:$AL,0))</f>
        <v>#N/A</v>
      </c>
      <c r="H441" s="2" t="e">
        <f>INDEX(Data!AA:AA,MATCH($P441,Data!$AL:$AL,0))</f>
        <v>#N/A</v>
      </c>
      <c r="I441" s="2" t="e">
        <f>INDEX(Data!AB:AB,MATCH($P441,Data!$AL:$AL,0))</f>
        <v>#N/A</v>
      </c>
      <c r="J441" s="2" t="e">
        <f>INDEX(Data!V:V,MATCH($P441,Data!$AL:$AL,0))</f>
        <v>#N/A</v>
      </c>
      <c r="K441" s="2" t="e">
        <f>INDEX(Data!W:W,MATCH($P441,Data!$AL:$AL,0))</f>
        <v>#N/A</v>
      </c>
      <c r="L441" s="2" t="e">
        <f>INDEX(Data!X:X,MATCH($P441,Data!$AL:$AL,0))</f>
        <v>#N/A</v>
      </c>
      <c r="M441" s="2" t="e">
        <f>INDEX(Data!AD:AD,MATCH($P441,Data!$AL:$AL,0))</f>
        <v>#N/A</v>
      </c>
      <c r="N441" s="2" t="e">
        <f>INDEX(Data!AF:AF,MATCH($P441,Data!$AL:$AL,0))</f>
        <v>#N/A</v>
      </c>
      <c r="O441" s="2" t="e">
        <f>INDEX(Data!Q:Q,MATCH($P441,Data!$AL:$AL,0))</f>
        <v>#N/A</v>
      </c>
      <c r="Q441" s="3" t="str">
        <f t="shared" si="6"/>
        <v>NCL</v>
      </c>
    </row>
    <row r="442" spans="1:17" x14ac:dyDescent="0.25">
      <c r="A442" s="3">
        <v>449</v>
      </c>
      <c r="B442" s="216" t="s">
        <v>41</v>
      </c>
      <c r="C442" s="7">
        <f>INDEX(Data!M:M,MATCH(Q442,Data!AM:AM,0))</f>
        <v>0</v>
      </c>
      <c r="D442" s="7">
        <f>INDEX(Data!O:O,MATCH(Q442,Data!AM:AM,0))</f>
        <v>0</v>
      </c>
      <c r="E442" t="e">
        <f>INDEX(Data!T:T,MATCH($P442,Data!$AL:$AL,0))</f>
        <v>#N/A</v>
      </c>
      <c r="F442" t="e">
        <f>INDEX(Data!P:P,MATCH($P442,Data!$AL:$AL,0))</f>
        <v>#N/A</v>
      </c>
      <c r="G442" t="e">
        <f>INDEX(Data!Z:Z,MATCH($P442,Data!$AL:$AL,0))</f>
        <v>#N/A</v>
      </c>
      <c r="H442" t="e">
        <f>INDEX(Data!AA:AA,MATCH($P442,Data!$AL:$AL,0))</f>
        <v>#N/A</v>
      </c>
      <c r="I442" t="e">
        <f>INDEX(Data!AB:AB,MATCH($P442,Data!$AL:$AL,0))</f>
        <v>#N/A</v>
      </c>
      <c r="J442" t="e">
        <f>INDEX(Data!V:V,MATCH($P442,Data!$AL:$AL,0))</f>
        <v>#N/A</v>
      </c>
      <c r="K442" t="e">
        <f>INDEX(Data!W:W,MATCH($P442,Data!$AL:$AL,0))</f>
        <v>#N/A</v>
      </c>
      <c r="L442" t="e">
        <f>INDEX(Data!X:X,MATCH($P442,Data!$AL:$AL,0))</f>
        <v>#N/A</v>
      </c>
      <c r="M442" t="e">
        <f>INDEX(Data!AD:AD,MATCH($P442,Data!$AL:$AL,0))</f>
        <v>#N/A</v>
      </c>
      <c r="N442" t="e">
        <f>INDEX(Data!AF:AF,MATCH($P442,Data!$AL:$AL,0))</f>
        <v>#N/A</v>
      </c>
      <c r="O442" t="e">
        <f>INDEX(Data!Q:Q,MATCH($P442,Data!$AL:$AL,0))</f>
        <v>#N/A</v>
      </c>
      <c r="Q442" s="3" t="str">
        <f t="shared" ref="Q442:Q505" si="7">_xlfn.CONCAT(B442,P442)</f>
        <v>CL</v>
      </c>
    </row>
    <row r="443" spans="1:17" x14ac:dyDescent="0.25">
      <c r="A443" s="3">
        <v>450</v>
      </c>
      <c r="B443" s="216" t="s">
        <v>42</v>
      </c>
      <c r="C443" s="7">
        <f>INDEX(Data!M:M,MATCH(Q443,Data!AM:AM,0))</f>
        <v>0</v>
      </c>
      <c r="D443" s="7">
        <f>INDEX(Data!O:O,MATCH(Q443,Data!AM:AM,0))</f>
        <v>0</v>
      </c>
      <c r="E443" t="e">
        <f>INDEX(Data!T:T,MATCH($P443,Data!$AL:$AL,0))</f>
        <v>#N/A</v>
      </c>
      <c r="F443" t="e">
        <f>INDEX(Data!P:P,MATCH($P443,Data!$AL:$AL,0))</f>
        <v>#N/A</v>
      </c>
      <c r="G443" t="e">
        <f>INDEX(Data!Z:Z,MATCH($P443,Data!$AL:$AL,0))</f>
        <v>#N/A</v>
      </c>
      <c r="H443" t="e">
        <f>INDEX(Data!AA:AA,MATCH($P443,Data!$AL:$AL,0))</f>
        <v>#N/A</v>
      </c>
      <c r="I443" t="e">
        <f>INDEX(Data!AB:AB,MATCH($P443,Data!$AL:$AL,0))</f>
        <v>#N/A</v>
      </c>
      <c r="J443" t="e">
        <f>INDEX(Data!V:V,MATCH($P443,Data!$AL:$AL,0))</f>
        <v>#N/A</v>
      </c>
      <c r="K443" t="e">
        <f>INDEX(Data!W:W,MATCH($P443,Data!$AL:$AL,0))</f>
        <v>#N/A</v>
      </c>
      <c r="L443" t="e">
        <f>INDEX(Data!X:X,MATCH($P443,Data!$AL:$AL,0))</f>
        <v>#N/A</v>
      </c>
      <c r="M443" t="e">
        <f>INDEX(Data!AD:AD,MATCH($P443,Data!$AL:$AL,0))</f>
        <v>#N/A</v>
      </c>
      <c r="N443" t="e">
        <f>INDEX(Data!AF:AF,MATCH($P443,Data!$AL:$AL,0))</f>
        <v>#N/A</v>
      </c>
      <c r="O443" t="e">
        <f>INDEX(Data!Q:Q,MATCH($P443,Data!$AL:$AL,0))</f>
        <v>#N/A</v>
      </c>
      <c r="Q443" s="3" t="str">
        <f t="shared" si="7"/>
        <v>ACL</v>
      </c>
    </row>
    <row r="444" spans="1:17" x14ac:dyDescent="0.25">
      <c r="A444" s="3">
        <v>451</v>
      </c>
      <c r="B444" s="216" t="s">
        <v>43</v>
      </c>
      <c r="C444" s="7">
        <f>INDEX(Data!M:M,MATCH(Q444,Data!AM:AM,0))</f>
        <v>0</v>
      </c>
      <c r="D444" s="7">
        <f>INDEX(Data!O:O,MATCH(Q444,Data!AM:AM,0))</f>
        <v>0</v>
      </c>
      <c r="E444" t="e">
        <f>INDEX(Data!T:T,MATCH($P444,Data!$AL:$AL,0))</f>
        <v>#N/A</v>
      </c>
      <c r="F444" t="e">
        <f>INDEX(Data!P:P,MATCH($P444,Data!$AL:$AL,0))</f>
        <v>#N/A</v>
      </c>
      <c r="G444" t="e">
        <f>INDEX(Data!Z:Z,MATCH($P444,Data!$AL:$AL,0))</f>
        <v>#N/A</v>
      </c>
      <c r="H444" t="e">
        <f>INDEX(Data!AA:AA,MATCH($P444,Data!$AL:$AL,0))</f>
        <v>#N/A</v>
      </c>
      <c r="I444" t="e">
        <f>INDEX(Data!AB:AB,MATCH($P444,Data!$AL:$AL,0))</f>
        <v>#N/A</v>
      </c>
      <c r="J444" t="e">
        <f>INDEX(Data!V:V,MATCH($P444,Data!$AL:$AL,0))</f>
        <v>#N/A</v>
      </c>
      <c r="K444" t="e">
        <f>INDEX(Data!W:W,MATCH($P444,Data!$AL:$AL,0))</f>
        <v>#N/A</v>
      </c>
      <c r="L444" t="e">
        <f>INDEX(Data!X:X,MATCH($P444,Data!$AL:$AL,0))</f>
        <v>#N/A</v>
      </c>
      <c r="M444" t="e">
        <f>INDEX(Data!AD:AD,MATCH($P444,Data!$AL:$AL,0))</f>
        <v>#N/A</v>
      </c>
      <c r="N444" t="e">
        <f>INDEX(Data!AF:AF,MATCH($P444,Data!$AL:$AL,0))</f>
        <v>#N/A</v>
      </c>
      <c r="O444" t="e">
        <f>INDEX(Data!Q:Q,MATCH($P444,Data!$AL:$AL,0))</f>
        <v>#N/A</v>
      </c>
      <c r="Q444" s="3" t="str">
        <f t="shared" si="7"/>
        <v>SPCL</v>
      </c>
    </row>
    <row r="445" spans="1:17" x14ac:dyDescent="0.25">
      <c r="A445" s="4">
        <v>452</v>
      </c>
      <c r="B445" s="217" t="s">
        <v>44</v>
      </c>
      <c r="C445" s="8">
        <f>INDEX(Data!M:M,MATCH(Q445,Data!AM:AM,0))</f>
        <v>0</v>
      </c>
      <c r="D445" s="8">
        <f>INDEX(Data!O:O,MATCH(Q445,Data!AM:AM,0))</f>
        <v>0</v>
      </c>
      <c r="E445" s="1" t="e">
        <f>INDEX(Data!T:T,MATCH($P445,Data!$AL:$AL,0))</f>
        <v>#N/A</v>
      </c>
      <c r="F445" s="1" t="e">
        <f>INDEX(Data!P:P,MATCH($P445,Data!$AL:$AL,0))</f>
        <v>#N/A</v>
      </c>
      <c r="G445" s="1" t="e">
        <f>INDEX(Data!Z:Z,MATCH($P445,Data!$AL:$AL,0))</f>
        <v>#N/A</v>
      </c>
      <c r="H445" s="1" t="e">
        <f>INDEX(Data!AA:AA,MATCH($P445,Data!$AL:$AL,0))</f>
        <v>#N/A</v>
      </c>
      <c r="I445" s="1" t="e">
        <f>INDEX(Data!AB:AB,MATCH($P445,Data!$AL:$AL,0))</f>
        <v>#N/A</v>
      </c>
      <c r="J445" s="1" t="e">
        <f>INDEX(Data!V:V,MATCH($P445,Data!$AL:$AL,0))</f>
        <v>#N/A</v>
      </c>
      <c r="K445" s="1" t="e">
        <f>INDEX(Data!W:W,MATCH($P445,Data!$AL:$AL,0))</f>
        <v>#N/A</v>
      </c>
      <c r="L445" s="1" t="e">
        <f>INDEX(Data!X:X,MATCH($P445,Data!$AL:$AL,0))</f>
        <v>#N/A</v>
      </c>
      <c r="M445" s="1" t="e">
        <f>INDEX(Data!AD:AD,MATCH($P445,Data!$AL:$AL,0))</f>
        <v>#N/A</v>
      </c>
      <c r="N445" s="1" t="e">
        <f>INDEX(Data!AF:AF,MATCH($P445,Data!$AL:$AL,0))</f>
        <v>#N/A</v>
      </c>
      <c r="O445" s="1" t="e">
        <f>INDEX(Data!Q:Q,MATCH($P445,Data!$AL:$AL,0))</f>
        <v>#N/A</v>
      </c>
      <c r="P445" s="1"/>
      <c r="Q445" s="4" t="str">
        <f t="shared" si="7"/>
        <v>SPACL</v>
      </c>
    </row>
    <row r="446" spans="1:17" x14ac:dyDescent="0.25">
      <c r="A446" s="3">
        <v>453</v>
      </c>
      <c r="B446" s="218" t="s">
        <v>40</v>
      </c>
      <c r="C446" s="6">
        <f>INDEX(Data!M:M,MATCH(Q446,Data!AM:AM,0))</f>
        <v>0</v>
      </c>
      <c r="D446" s="6">
        <f>INDEX(Data!O:O,MATCH(Q446,Data!AM:AM,0))</f>
        <v>0</v>
      </c>
      <c r="E446" s="2" t="e">
        <f>INDEX(Data!T:T,MATCH($P446,Data!$AL:$AL,0))</f>
        <v>#N/A</v>
      </c>
      <c r="F446" s="2" t="e">
        <f>INDEX(Data!P:P,MATCH($P446,Data!$AL:$AL,0))</f>
        <v>#N/A</v>
      </c>
      <c r="G446" s="2" t="e">
        <f>INDEX(Data!Z:Z,MATCH($P446,Data!$AL:$AL,0))</f>
        <v>#N/A</v>
      </c>
      <c r="H446" s="2" t="e">
        <f>INDEX(Data!AA:AA,MATCH($P446,Data!$AL:$AL,0))</f>
        <v>#N/A</v>
      </c>
      <c r="I446" s="2" t="e">
        <f>INDEX(Data!AB:AB,MATCH($P446,Data!$AL:$AL,0))</f>
        <v>#N/A</v>
      </c>
      <c r="J446" s="2" t="e">
        <f>INDEX(Data!V:V,MATCH($P446,Data!$AL:$AL,0))</f>
        <v>#N/A</v>
      </c>
      <c r="K446" s="2" t="e">
        <f>INDEX(Data!W:W,MATCH($P446,Data!$AL:$AL,0))</f>
        <v>#N/A</v>
      </c>
      <c r="L446" s="2" t="e">
        <f>INDEX(Data!X:X,MATCH($P446,Data!$AL:$AL,0))</f>
        <v>#N/A</v>
      </c>
      <c r="M446" s="2" t="e">
        <f>INDEX(Data!AD:AD,MATCH($P446,Data!$AL:$AL,0))</f>
        <v>#N/A</v>
      </c>
      <c r="N446" s="2" t="e">
        <f>INDEX(Data!AF:AF,MATCH($P446,Data!$AL:$AL,0))</f>
        <v>#N/A</v>
      </c>
      <c r="O446" s="2" t="e">
        <f>INDEX(Data!Q:Q,MATCH($P446,Data!$AL:$AL,0))</f>
        <v>#N/A</v>
      </c>
      <c r="Q446" s="3" t="str">
        <f t="shared" si="7"/>
        <v>NCL</v>
      </c>
    </row>
    <row r="447" spans="1:17" x14ac:dyDescent="0.25">
      <c r="A447" s="3">
        <v>454</v>
      </c>
      <c r="B447" s="216" t="s">
        <v>41</v>
      </c>
      <c r="C447" s="7">
        <f>INDEX(Data!M:M,MATCH(Q447,Data!AM:AM,0))</f>
        <v>0</v>
      </c>
      <c r="D447" s="7">
        <f>INDEX(Data!O:O,MATCH(Q447,Data!AM:AM,0))</f>
        <v>0</v>
      </c>
      <c r="E447" t="e">
        <f>INDEX(Data!T:T,MATCH($P447,Data!$AL:$AL,0))</f>
        <v>#N/A</v>
      </c>
      <c r="F447" t="e">
        <f>INDEX(Data!P:P,MATCH($P447,Data!$AL:$AL,0))</f>
        <v>#N/A</v>
      </c>
      <c r="G447" t="e">
        <f>INDEX(Data!Z:Z,MATCH($P447,Data!$AL:$AL,0))</f>
        <v>#N/A</v>
      </c>
      <c r="H447" t="e">
        <f>INDEX(Data!AA:AA,MATCH($P447,Data!$AL:$AL,0))</f>
        <v>#N/A</v>
      </c>
      <c r="I447" t="e">
        <f>INDEX(Data!AB:AB,MATCH($P447,Data!$AL:$AL,0))</f>
        <v>#N/A</v>
      </c>
      <c r="J447" t="e">
        <f>INDEX(Data!V:V,MATCH($P447,Data!$AL:$AL,0))</f>
        <v>#N/A</v>
      </c>
      <c r="K447" t="e">
        <f>INDEX(Data!W:W,MATCH($P447,Data!$AL:$AL,0))</f>
        <v>#N/A</v>
      </c>
      <c r="L447" t="e">
        <f>INDEX(Data!X:X,MATCH($P447,Data!$AL:$AL,0))</f>
        <v>#N/A</v>
      </c>
      <c r="M447" t="e">
        <f>INDEX(Data!AD:AD,MATCH($P447,Data!$AL:$AL,0))</f>
        <v>#N/A</v>
      </c>
      <c r="N447" t="e">
        <f>INDEX(Data!AF:AF,MATCH($P447,Data!$AL:$AL,0))</f>
        <v>#N/A</v>
      </c>
      <c r="O447" t="e">
        <f>INDEX(Data!Q:Q,MATCH($P447,Data!$AL:$AL,0))</f>
        <v>#N/A</v>
      </c>
      <c r="Q447" s="3" t="str">
        <f t="shared" si="7"/>
        <v>CL</v>
      </c>
    </row>
    <row r="448" spans="1:17" x14ac:dyDescent="0.25">
      <c r="A448" s="3">
        <v>455</v>
      </c>
      <c r="B448" s="216" t="s">
        <v>42</v>
      </c>
      <c r="C448" s="7">
        <f>INDEX(Data!M:M,MATCH(Q448,Data!AM:AM,0))</f>
        <v>0</v>
      </c>
      <c r="D448" s="7">
        <f>INDEX(Data!O:O,MATCH(Q448,Data!AM:AM,0))</f>
        <v>0</v>
      </c>
      <c r="E448" t="e">
        <f>INDEX(Data!T:T,MATCH($P448,Data!$AL:$AL,0))</f>
        <v>#N/A</v>
      </c>
      <c r="F448" t="e">
        <f>INDEX(Data!P:P,MATCH($P448,Data!$AL:$AL,0))</f>
        <v>#N/A</v>
      </c>
      <c r="G448" t="e">
        <f>INDEX(Data!Z:Z,MATCH($P448,Data!$AL:$AL,0))</f>
        <v>#N/A</v>
      </c>
      <c r="H448" t="e">
        <f>INDEX(Data!AA:AA,MATCH($P448,Data!$AL:$AL,0))</f>
        <v>#N/A</v>
      </c>
      <c r="I448" t="e">
        <f>INDEX(Data!AB:AB,MATCH($P448,Data!$AL:$AL,0))</f>
        <v>#N/A</v>
      </c>
      <c r="J448" t="e">
        <f>INDEX(Data!V:V,MATCH($P448,Data!$AL:$AL,0))</f>
        <v>#N/A</v>
      </c>
      <c r="K448" t="e">
        <f>INDEX(Data!W:W,MATCH($P448,Data!$AL:$AL,0))</f>
        <v>#N/A</v>
      </c>
      <c r="L448" t="e">
        <f>INDEX(Data!X:X,MATCH($P448,Data!$AL:$AL,0))</f>
        <v>#N/A</v>
      </c>
      <c r="M448" t="e">
        <f>INDEX(Data!AD:AD,MATCH($P448,Data!$AL:$AL,0))</f>
        <v>#N/A</v>
      </c>
      <c r="N448" t="e">
        <f>INDEX(Data!AF:AF,MATCH($P448,Data!$AL:$AL,0))</f>
        <v>#N/A</v>
      </c>
      <c r="O448" t="e">
        <f>INDEX(Data!Q:Q,MATCH($P448,Data!$AL:$AL,0))</f>
        <v>#N/A</v>
      </c>
      <c r="Q448" s="3" t="str">
        <f t="shared" si="7"/>
        <v>ACL</v>
      </c>
    </row>
    <row r="449" spans="1:17" x14ac:dyDescent="0.25">
      <c r="A449" s="3">
        <v>456</v>
      </c>
      <c r="B449" s="216" t="s">
        <v>43</v>
      </c>
      <c r="C449" s="7">
        <f>INDEX(Data!M:M,MATCH(Q449,Data!AM:AM,0))</f>
        <v>0</v>
      </c>
      <c r="D449" s="7">
        <f>INDEX(Data!O:O,MATCH(Q449,Data!AM:AM,0))</f>
        <v>0</v>
      </c>
      <c r="E449" t="e">
        <f>INDEX(Data!T:T,MATCH($P449,Data!$AL:$AL,0))</f>
        <v>#N/A</v>
      </c>
      <c r="F449" t="e">
        <f>INDEX(Data!P:P,MATCH($P449,Data!$AL:$AL,0))</f>
        <v>#N/A</v>
      </c>
      <c r="G449" t="e">
        <f>INDEX(Data!Z:Z,MATCH($P449,Data!$AL:$AL,0))</f>
        <v>#N/A</v>
      </c>
      <c r="H449" t="e">
        <f>INDEX(Data!AA:AA,MATCH($P449,Data!$AL:$AL,0))</f>
        <v>#N/A</v>
      </c>
      <c r="I449" t="e">
        <f>INDEX(Data!AB:AB,MATCH($P449,Data!$AL:$AL,0))</f>
        <v>#N/A</v>
      </c>
      <c r="J449" t="e">
        <f>INDEX(Data!V:V,MATCH($P449,Data!$AL:$AL,0))</f>
        <v>#N/A</v>
      </c>
      <c r="K449" t="e">
        <f>INDEX(Data!W:W,MATCH($P449,Data!$AL:$AL,0))</f>
        <v>#N/A</v>
      </c>
      <c r="L449" t="e">
        <f>INDEX(Data!X:X,MATCH($P449,Data!$AL:$AL,0))</f>
        <v>#N/A</v>
      </c>
      <c r="M449" t="e">
        <f>INDEX(Data!AD:AD,MATCH($P449,Data!$AL:$AL,0))</f>
        <v>#N/A</v>
      </c>
      <c r="N449" t="e">
        <f>INDEX(Data!AF:AF,MATCH($P449,Data!$AL:$AL,0))</f>
        <v>#N/A</v>
      </c>
      <c r="O449" t="e">
        <f>INDEX(Data!Q:Q,MATCH($P449,Data!$AL:$AL,0))</f>
        <v>#N/A</v>
      </c>
      <c r="Q449" s="3" t="str">
        <f t="shared" si="7"/>
        <v>SPCL</v>
      </c>
    </row>
    <row r="450" spans="1:17" x14ac:dyDescent="0.25">
      <c r="A450" s="4">
        <v>457</v>
      </c>
      <c r="B450" s="217" t="s">
        <v>44</v>
      </c>
      <c r="C450" s="8">
        <f>INDEX(Data!M:M,MATCH(Q450,Data!AM:AM,0))</f>
        <v>0</v>
      </c>
      <c r="D450" s="8">
        <f>INDEX(Data!O:O,MATCH(Q450,Data!AM:AM,0))</f>
        <v>0</v>
      </c>
      <c r="E450" s="1" t="e">
        <f>INDEX(Data!T:T,MATCH($P450,Data!$AL:$AL,0))</f>
        <v>#N/A</v>
      </c>
      <c r="F450" s="1" t="e">
        <f>INDEX(Data!P:P,MATCH($P450,Data!$AL:$AL,0))</f>
        <v>#N/A</v>
      </c>
      <c r="G450" s="1" t="e">
        <f>INDEX(Data!Z:Z,MATCH($P450,Data!$AL:$AL,0))</f>
        <v>#N/A</v>
      </c>
      <c r="H450" s="1" t="e">
        <f>INDEX(Data!AA:AA,MATCH($P450,Data!$AL:$AL,0))</f>
        <v>#N/A</v>
      </c>
      <c r="I450" s="1" t="e">
        <f>INDEX(Data!AB:AB,MATCH($P450,Data!$AL:$AL,0))</f>
        <v>#N/A</v>
      </c>
      <c r="J450" s="1" t="e">
        <f>INDEX(Data!V:V,MATCH($P450,Data!$AL:$AL,0))</f>
        <v>#N/A</v>
      </c>
      <c r="K450" s="1" t="e">
        <f>INDEX(Data!W:W,MATCH($P450,Data!$AL:$AL,0))</f>
        <v>#N/A</v>
      </c>
      <c r="L450" s="1" t="e">
        <f>INDEX(Data!X:X,MATCH($P450,Data!$AL:$AL,0))</f>
        <v>#N/A</v>
      </c>
      <c r="M450" s="1" t="e">
        <f>INDEX(Data!AD:AD,MATCH($P450,Data!$AL:$AL,0))</f>
        <v>#N/A</v>
      </c>
      <c r="N450" s="1" t="e">
        <f>INDEX(Data!AF:AF,MATCH($P450,Data!$AL:$AL,0))</f>
        <v>#N/A</v>
      </c>
      <c r="O450" s="1" t="e">
        <f>INDEX(Data!Q:Q,MATCH($P450,Data!$AL:$AL,0))</f>
        <v>#N/A</v>
      </c>
      <c r="P450" s="1"/>
      <c r="Q450" s="4" t="str">
        <f t="shared" si="7"/>
        <v>SPACL</v>
      </c>
    </row>
    <row r="451" spans="1:17" x14ac:dyDescent="0.25">
      <c r="A451" s="3">
        <v>458</v>
      </c>
      <c r="B451" s="218" t="s">
        <v>40</v>
      </c>
      <c r="C451" s="6">
        <f>INDEX(Data!M:M,MATCH(Q451,Data!AM:AM,0))</f>
        <v>0</v>
      </c>
      <c r="D451" s="6">
        <f>INDEX(Data!O:O,MATCH(Q451,Data!AM:AM,0))</f>
        <v>0</v>
      </c>
      <c r="E451" s="2" t="e">
        <f>INDEX(Data!T:T,MATCH($P451,Data!$AL:$AL,0))</f>
        <v>#N/A</v>
      </c>
      <c r="F451" s="2" t="e">
        <f>INDEX(Data!P:P,MATCH($P451,Data!$AL:$AL,0))</f>
        <v>#N/A</v>
      </c>
      <c r="G451" s="2" t="e">
        <f>INDEX(Data!Z:Z,MATCH($P451,Data!$AL:$AL,0))</f>
        <v>#N/A</v>
      </c>
      <c r="H451" s="2" t="e">
        <f>INDEX(Data!AA:AA,MATCH($P451,Data!$AL:$AL,0))</f>
        <v>#N/A</v>
      </c>
      <c r="I451" s="2" t="e">
        <f>INDEX(Data!AB:AB,MATCH($P451,Data!$AL:$AL,0))</f>
        <v>#N/A</v>
      </c>
      <c r="J451" s="2" t="e">
        <f>INDEX(Data!V:V,MATCH($P451,Data!$AL:$AL,0))</f>
        <v>#N/A</v>
      </c>
      <c r="K451" s="2" t="e">
        <f>INDEX(Data!W:W,MATCH($P451,Data!$AL:$AL,0))</f>
        <v>#N/A</v>
      </c>
      <c r="L451" s="2" t="e">
        <f>INDEX(Data!X:X,MATCH($P451,Data!$AL:$AL,0))</f>
        <v>#N/A</v>
      </c>
      <c r="M451" s="2" t="e">
        <f>INDEX(Data!AD:AD,MATCH($P451,Data!$AL:$AL,0))</f>
        <v>#N/A</v>
      </c>
      <c r="N451" s="2" t="e">
        <f>INDEX(Data!AF:AF,MATCH($P451,Data!$AL:$AL,0))</f>
        <v>#N/A</v>
      </c>
      <c r="O451" s="2" t="e">
        <f>INDEX(Data!Q:Q,MATCH($P451,Data!$AL:$AL,0))</f>
        <v>#N/A</v>
      </c>
      <c r="Q451" s="3" t="str">
        <f t="shared" si="7"/>
        <v>NCL</v>
      </c>
    </row>
    <row r="452" spans="1:17" x14ac:dyDescent="0.25">
      <c r="A452" s="3">
        <v>459</v>
      </c>
      <c r="B452" s="216" t="s">
        <v>41</v>
      </c>
      <c r="C452" s="7">
        <f>INDEX(Data!M:M,MATCH(Q452,Data!AM:AM,0))</f>
        <v>0</v>
      </c>
      <c r="D452" s="7">
        <f>INDEX(Data!O:O,MATCH(Q452,Data!AM:AM,0))</f>
        <v>0</v>
      </c>
      <c r="E452" t="e">
        <f>INDEX(Data!T:T,MATCH($P452,Data!$AL:$AL,0))</f>
        <v>#N/A</v>
      </c>
      <c r="F452" t="e">
        <f>INDEX(Data!P:P,MATCH($P452,Data!$AL:$AL,0))</f>
        <v>#N/A</v>
      </c>
      <c r="G452" t="e">
        <f>INDEX(Data!Z:Z,MATCH($P452,Data!$AL:$AL,0))</f>
        <v>#N/A</v>
      </c>
      <c r="H452" t="e">
        <f>INDEX(Data!AA:AA,MATCH($P452,Data!$AL:$AL,0))</f>
        <v>#N/A</v>
      </c>
      <c r="I452" t="e">
        <f>INDEX(Data!AB:AB,MATCH($P452,Data!$AL:$AL,0))</f>
        <v>#N/A</v>
      </c>
      <c r="J452" t="e">
        <f>INDEX(Data!V:V,MATCH($P452,Data!$AL:$AL,0))</f>
        <v>#N/A</v>
      </c>
      <c r="K452" t="e">
        <f>INDEX(Data!W:W,MATCH($P452,Data!$AL:$AL,0))</f>
        <v>#N/A</v>
      </c>
      <c r="L452" t="e">
        <f>INDEX(Data!X:X,MATCH($P452,Data!$AL:$AL,0))</f>
        <v>#N/A</v>
      </c>
      <c r="M452" t="e">
        <f>INDEX(Data!AD:AD,MATCH($P452,Data!$AL:$AL,0))</f>
        <v>#N/A</v>
      </c>
      <c r="N452" t="e">
        <f>INDEX(Data!AF:AF,MATCH($P452,Data!$AL:$AL,0))</f>
        <v>#N/A</v>
      </c>
      <c r="O452" t="e">
        <f>INDEX(Data!Q:Q,MATCH($P452,Data!$AL:$AL,0))</f>
        <v>#N/A</v>
      </c>
      <c r="Q452" s="3" t="str">
        <f t="shared" si="7"/>
        <v>CL</v>
      </c>
    </row>
    <row r="453" spans="1:17" x14ac:dyDescent="0.25">
      <c r="A453" s="3">
        <v>460</v>
      </c>
      <c r="B453" s="216" t="s">
        <v>42</v>
      </c>
      <c r="C453" s="7">
        <f>INDEX(Data!M:M,MATCH(Q453,Data!AM:AM,0))</f>
        <v>0</v>
      </c>
      <c r="D453" s="7">
        <f>INDEX(Data!O:O,MATCH(Q453,Data!AM:AM,0))</f>
        <v>0</v>
      </c>
      <c r="E453" t="e">
        <f>INDEX(Data!T:T,MATCH($P453,Data!$AL:$AL,0))</f>
        <v>#N/A</v>
      </c>
      <c r="F453" t="e">
        <f>INDEX(Data!P:P,MATCH($P453,Data!$AL:$AL,0))</f>
        <v>#N/A</v>
      </c>
      <c r="G453" t="e">
        <f>INDEX(Data!Z:Z,MATCH($P453,Data!$AL:$AL,0))</f>
        <v>#N/A</v>
      </c>
      <c r="H453" t="e">
        <f>INDEX(Data!AA:AA,MATCH($P453,Data!$AL:$AL,0))</f>
        <v>#N/A</v>
      </c>
      <c r="I453" t="e">
        <f>INDEX(Data!AB:AB,MATCH($P453,Data!$AL:$AL,0))</f>
        <v>#N/A</v>
      </c>
      <c r="J453" t="e">
        <f>INDEX(Data!V:V,MATCH($P453,Data!$AL:$AL,0))</f>
        <v>#N/A</v>
      </c>
      <c r="K453" t="e">
        <f>INDEX(Data!W:W,MATCH($P453,Data!$AL:$AL,0))</f>
        <v>#N/A</v>
      </c>
      <c r="L453" t="e">
        <f>INDEX(Data!X:X,MATCH($P453,Data!$AL:$AL,0))</f>
        <v>#N/A</v>
      </c>
      <c r="M453" t="e">
        <f>INDEX(Data!AD:AD,MATCH($P453,Data!$AL:$AL,0))</f>
        <v>#N/A</v>
      </c>
      <c r="N453" t="e">
        <f>INDEX(Data!AF:AF,MATCH($P453,Data!$AL:$AL,0))</f>
        <v>#N/A</v>
      </c>
      <c r="O453" t="e">
        <f>INDEX(Data!Q:Q,MATCH($P453,Data!$AL:$AL,0))</f>
        <v>#N/A</v>
      </c>
      <c r="Q453" s="3" t="str">
        <f t="shared" si="7"/>
        <v>ACL</v>
      </c>
    </row>
    <row r="454" spans="1:17" x14ac:dyDescent="0.25">
      <c r="A454" s="3">
        <v>461</v>
      </c>
      <c r="B454" s="216" t="s">
        <v>43</v>
      </c>
      <c r="C454" s="7">
        <f>INDEX(Data!M:M,MATCH(Q454,Data!AM:AM,0))</f>
        <v>0</v>
      </c>
      <c r="D454" s="7">
        <f>INDEX(Data!O:O,MATCH(Q454,Data!AM:AM,0))</f>
        <v>0</v>
      </c>
      <c r="E454" t="e">
        <f>INDEX(Data!T:T,MATCH($P454,Data!$AL:$AL,0))</f>
        <v>#N/A</v>
      </c>
      <c r="F454" t="e">
        <f>INDEX(Data!P:P,MATCH($P454,Data!$AL:$AL,0))</f>
        <v>#N/A</v>
      </c>
      <c r="G454" t="e">
        <f>INDEX(Data!Z:Z,MATCH($P454,Data!$AL:$AL,0))</f>
        <v>#N/A</v>
      </c>
      <c r="H454" t="e">
        <f>INDEX(Data!AA:AA,MATCH($P454,Data!$AL:$AL,0))</f>
        <v>#N/A</v>
      </c>
      <c r="I454" t="e">
        <f>INDEX(Data!AB:AB,MATCH($P454,Data!$AL:$AL,0))</f>
        <v>#N/A</v>
      </c>
      <c r="J454" t="e">
        <f>INDEX(Data!V:V,MATCH($P454,Data!$AL:$AL,0))</f>
        <v>#N/A</v>
      </c>
      <c r="K454" t="e">
        <f>INDEX(Data!W:W,MATCH($P454,Data!$AL:$AL,0))</f>
        <v>#N/A</v>
      </c>
      <c r="L454" t="e">
        <f>INDEX(Data!X:X,MATCH($P454,Data!$AL:$AL,0))</f>
        <v>#N/A</v>
      </c>
      <c r="M454" t="e">
        <f>INDEX(Data!AD:AD,MATCH($P454,Data!$AL:$AL,0))</f>
        <v>#N/A</v>
      </c>
      <c r="N454" t="e">
        <f>INDEX(Data!AF:AF,MATCH($P454,Data!$AL:$AL,0))</f>
        <v>#N/A</v>
      </c>
      <c r="O454" t="e">
        <f>INDEX(Data!Q:Q,MATCH($P454,Data!$AL:$AL,0))</f>
        <v>#N/A</v>
      </c>
      <c r="Q454" s="3" t="str">
        <f t="shared" si="7"/>
        <v>SPCL</v>
      </c>
    </row>
    <row r="455" spans="1:17" x14ac:dyDescent="0.25">
      <c r="A455" s="4">
        <v>462</v>
      </c>
      <c r="B455" s="217" t="s">
        <v>44</v>
      </c>
      <c r="C455" s="8">
        <f>INDEX(Data!M:M,MATCH(Q455,Data!AM:AM,0))</f>
        <v>0</v>
      </c>
      <c r="D455" s="8">
        <f>INDEX(Data!O:O,MATCH(Q455,Data!AM:AM,0))</f>
        <v>0</v>
      </c>
      <c r="E455" s="1" t="e">
        <f>INDEX(Data!T:T,MATCH($P455,Data!$AL:$AL,0))</f>
        <v>#N/A</v>
      </c>
      <c r="F455" s="1" t="e">
        <f>INDEX(Data!P:P,MATCH($P455,Data!$AL:$AL,0))</f>
        <v>#N/A</v>
      </c>
      <c r="G455" s="1" t="e">
        <f>INDEX(Data!Z:Z,MATCH($P455,Data!$AL:$AL,0))</f>
        <v>#N/A</v>
      </c>
      <c r="H455" s="1" t="e">
        <f>INDEX(Data!AA:AA,MATCH($P455,Data!$AL:$AL,0))</f>
        <v>#N/A</v>
      </c>
      <c r="I455" s="1" t="e">
        <f>INDEX(Data!AB:AB,MATCH($P455,Data!$AL:$AL,0))</f>
        <v>#N/A</v>
      </c>
      <c r="J455" s="1" t="e">
        <f>INDEX(Data!V:V,MATCH($P455,Data!$AL:$AL,0))</f>
        <v>#N/A</v>
      </c>
      <c r="K455" s="1" t="e">
        <f>INDEX(Data!W:W,MATCH($P455,Data!$AL:$AL,0))</f>
        <v>#N/A</v>
      </c>
      <c r="L455" s="1" t="e">
        <f>INDEX(Data!X:X,MATCH($P455,Data!$AL:$AL,0))</f>
        <v>#N/A</v>
      </c>
      <c r="M455" s="1" t="e">
        <f>INDEX(Data!AD:AD,MATCH($P455,Data!$AL:$AL,0))</f>
        <v>#N/A</v>
      </c>
      <c r="N455" s="1" t="e">
        <f>INDEX(Data!AF:AF,MATCH($P455,Data!$AL:$AL,0))</f>
        <v>#N/A</v>
      </c>
      <c r="O455" s="1" t="e">
        <f>INDEX(Data!Q:Q,MATCH($P455,Data!$AL:$AL,0))</f>
        <v>#N/A</v>
      </c>
      <c r="P455" s="1"/>
      <c r="Q455" s="4" t="str">
        <f t="shared" si="7"/>
        <v>SPACL</v>
      </c>
    </row>
    <row r="456" spans="1:17" x14ac:dyDescent="0.25">
      <c r="A456" s="3">
        <v>463</v>
      </c>
      <c r="B456" s="218" t="s">
        <v>40</v>
      </c>
      <c r="C456" s="6">
        <f>INDEX(Data!M:M,MATCH(Q456,Data!AM:AM,0))</f>
        <v>0</v>
      </c>
      <c r="D456" s="6">
        <f>INDEX(Data!O:O,MATCH(Q456,Data!AM:AM,0))</f>
        <v>0</v>
      </c>
      <c r="E456" s="2" t="e">
        <f>INDEX(Data!T:T,MATCH($P456,Data!$AL:$AL,0))</f>
        <v>#N/A</v>
      </c>
      <c r="F456" s="2" t="e">
        <f>INDEX(Data!P:P,MATCH($P456,Data!$AL:$AL,0))</f>
        <v>#N/A</v>
      </c>
      <c r="G456" s="2" t="e">
        <f>INDEX(Data!Z:Z,MATCH($P456,Data!$AL:$AL,0))</f>
        <v>#N/A</v>
      </c>
      <c r="H456" s="2" t="e">
        <f>INDEX(Data!AA:AA,MATCH($P456,Data!$AL:$AL,0))</f>
        <v>#N/A</v>
      </c>
      <c r="I456" s="2" t="e">
        <f>INDEX(Data!AB:AB,MATCH($P456,Data!$AL:$AL,0))</f>
        <v>#N/A</v>
      </c>
      <c r="J456" s="2" t="e">
        <f>INDEX(Data!V:V,MATCH($P456,Data!$AL:$AL,0))</f>
        <v>#N/A</v>
      </c>
      <c r="K456" s="2" t="e">
        <f>INDEX(Data!W:W,MATCH($P456,Data!$AL:$AL,0))</f>
        <v>#N/A</v>
      </c>
      <c r="L456" s="2" t="e">
        <f>INDEX(Data!X:X,MATCH($P456,Data!$AL:$AL,0))</f>
        <v>#N/A</v>
      </c>
      <c r="M456" s="2" t="e">
        <f>INDEX(Data!AD:AD,MATCH($P456,Data!$AL:$AL,0))</f>
        <v>#N/A</v>
      </c>
      <c r="N456" s="2" t="e">
        <f>INDEX(Data!AF:AF,MATCH($P456,Data!$AL:$AL,0))</f>
        <v>#N/A</v>
      </c>
      <c r="O456" s="2" t="e">
        <f>INDEX(Data!Q:Q,MATCH($P456,Data!$AL:$AL,0))</f>
        <v>#N/A</v>
      </c>
      <c r="Q456" s="3" t="str">
        <f t="shared" si="7"/>
        <v>NCL</v>
      </c>
    </row>
    <row r="457" spans="1:17" x14ac:dyDescent="0.25">
      <c r="A457" s="3">
        <v>464</v>
      </c>
      <c r="B457" s="216" t="s">
        <v>41</v>
      </c>
      <c r="C457" s="7">
        <f>INDEX(Data!M:M,MATCH(Q457,Data!AM:AM,0))</f>
        <v>0</v>
      </c>
      <c r="D457" s="7">
        <f>INDEX(Data!O:O,MATCH(Q457,Data!AM:AM,0))</f>
        <v>0</v>
      </c>
      <c r="E457" t="e">
        <f>INDEX(Data!T:T,MATCH($P457,Data!$AL:$AL,0))</f>
        <v>#N/A</v>
      </c>
      <c r="F457" t="e">
        <f>INDEX(Data!P:P,MATCH($P457,Data!$AL:$AL,0))</f>
        <v>#N/A</v>
      </c>
      <c r="G457" t="e">
        <f>INDEX(Data!Z:Z,MATCH($P457,Data!$AL:$AL,0))</f>
        <v>#N/A</v>
      </c>
      <c r="H457" t="e">
        <f>INDEX(Data!AA:AA,MATCH($P457,Data!$AL:$AL,0))</f>
        <v>#N/A</v>
      </c>
      <c r="I457" t="e">
        <f>INDEX(Data!AB:AB,MATCH($P457,Data!$AL:$AL,0))</f>
        <v>#N/A</v>
      </c>
      <c r="J457" t="e">
        <f>INDEX(Data!V:V,MATCH($P457,Data!$AL:$AL,0))</f>
        <v>#N/A</v>
      </c>
      <c r="K457" t="e">
        <f>INDEX(Data!W:W,MATCH($P457,Data!$AL:$AL,0))</f>
        <v>#N/A</v>
      </c>
      <c r="L457" t="e">
        <f>INDEX(Data!X:X,MATCH($P457,Data!$AL:$AL,0))</f>
        <v>#N/A</v>
      </c>
      <c r="M457" t="e">
        <f>INDEX(Data!AD:AD,MATCH($P457,Data!$AL:$AL,0))</f>
        <v>#N/A</v>
      </c>
      <c r="N457" t="e">
        <f>INDEX(Data!AF:AF,MATCH($P457,Data!$AL:$AL,0))</f>
        <v>#N/A</v>
      </c>
      <c r="O457" t="e">
        <f>INDEX(Data!Q:Q,MATCH($P457,Data!$AL:$AL,0))</f>
        <v>#N/A</v>
      </c>
      <c r="Q457" s="3" t="str">
        <f t="shared" si="7"/>
        <v>CL</v>
      </c>
    </row>
    <row r="458" spans="1:17" x14ac:dyDescent="0.25">
      <c r="A458" s="3">
        <v>465</v>
      </c>
      <c r="B458" s="216" t="s">
        <v>42</v>
      </c>
      <c r="C458" s="7">
        <f>INDEX(Data!M:M,MATCH(Q458,Data!AM:AM,0))</f>
        <v>0</v>
      </c>
      <c r="D458" s="7">
        <f>INDEX(Data!O:O,MATCH(Q458,Data!AM:AM,0))</f>
        <v>0</v>
      </c>
      <c r="E458" t="e">
        <f>INDEX(Data!T:T,MATCH($P458,Data!$AL:$AL,0))</f>
        <v>#N/A</v>
      </c>
      <c r="F458" t="e">
        <f>INDEX(Data!P:P,MATCH($P458,Data!$AL:$AL,0))</f>
        <v>#N/A</v>
      </c>
      <c r="G458" t="e">
        <f>INDEX(Data!Z:Z,MATCH($P458,Data!$AL:$AL,0))</f>
        <v>#N/A</v>
      </c>
      <c r="H458" t="e">
        <f>INDEX(Data!AA:AA,MATCH($P458,Data!$AL:$AL,0))</f>
        <v>#N/A</v>
      </c>
      <c r="I458" t="e">
        <f>INDEX(Data!AB:AB,MATCH($P458,Data!$AL:$AL,0))</f>
        <v>#N/A</v>
      </c>
      <c r="J458" t="e">
        <f>INDEX(Data!V:V,MATCH($P458,Data!$AL:$AL,0))</f>
        <v>#N/A</v>
      </c>
      <c r="K458" t="e">
        <f>INDEX(Data!W:W,MATCH($P458,Data!$AL:$AL,0))</f>
        <v>#N/A</v>
      </c>
      <c r="L458" t="e">
        <f>INDEX(Data!X:X,MATCH($P458,Data!$AL:$AL,0))</f>
        <v>#N/A</v>
      </c>
      <c r="M458" t="e">
        <f>INDEX(Data!AD:AD,MATCH($P458,Data!$AL:$AL,0))</f>
        <v>#N/A</v>
      </c>
      <c r="N458" t="e">
        <f>INDEX(Data!AF:AF,MATCH($P458,Data!$AL:$AL,0))</f>
        <v>#N/A</v>
      </c>
      <c r="O458" t="e">
        <f>INDEX(Data!Q:Q,MATCH($P458,Data!$AL:$AL,0))</f>
        <v>#N/A</v>
      </c>
      <c r="Q458" s="3" t="str">
        <f t="shared" si="7"/>
        <v>ACL</v>
      </c>
    </row>
    <row r="459" spans="1:17" x14ac:dyDescent="0.25">
      <c r="A459" s="3">
        <v>466</v>
      </c>
      <c r="B459" s="216" t="s">
        <v>43</v>
      </c>
      <c r="C459" s="7">
        <f>INDEX(Data!M:M,MATCH(Q459,Data!AM:AM,0))</f>
        <v>0</v>
      </c>
      <c r="D459" s="7">
        <f>INDEX(Data!O:O,MATCH(Q459,Data!AM:AM,0))</f>
        <v>0</v>
      </c>
      <c r="E459" t="e">
        <f>INDEX(Data!T:T,MATCH($P459,Data!$AL:$AL,0))</f>
        <v>#N/A</v>
      </c>
      <c r="F459" t="e">
        <f>INDEX(Data!P:P,MATCH($P459,Data!$AL:$AL,0))</f>
        <v>#N/A</v>
      </c>
      <c r="G459" t="e">
        <f>INDEX(Data!Z:Z,MATCH($P459,Data!$AL:$AL,0))</f>
        <v>#N/A</v>
      </c>
      <c r="H459" t="e">
        <f>INDEX(Data!AA:AA,MATCH($P459,Data!$AL:$AL,0))</f>
        <v>#N/A</v>
      </c>
      <c r="I459" t="e">
        <f>INDEX(Data!AB:AB,MATCH($P459,Data!$AL:$AL,0))</f>
        <v>#N/A</v>
      </c>
      <c r="J459" t="e">
        <f>INDEX(Data!V:V,MATCH($P459,Data!$AL:$AL,0))</f>
        <v>#N/A</v>
      </c>
      <c r="K459" t="e">
        <f>INDEX(Data!W:W,MATCH($P459,Data!$AL:$AL,0))</f>
        <v>#N/A</v>
      </c>
      <c r="L459" t="e">
        <f>INDEX(Data!X:X,MATCH($P459,Data!$AL:$AL,0))</f>
        <v>#N/A</v>
      </c>
      <c r="M459" t="e">
        <f>INDEX(Data!AD:AD,MATCH($P459,Data!$AL:$AL,0))</f>
        <v>#N/A</v>
      </c>
      <c r="N459" t="e">
        <f>INDEX(Data!AF:AF,MATCH($P459,Data!$AL:$AL,0))</f>
        <v>#N/A</v>
      </c>
      <c r="O459" t="e">
        <f>INDEX(Data!Q:Q,MATCH($P459,Data!$AL:$AL,0))</f>
        <v>#N/A</v>
      </c>
      <c r="Q459" s="3" t="str">
        <f t="shared" si="7"/>
        <v>SPCL</v>
      </c>
    </row>
    <row r="460" spans="1:17" x14ac:dyDescent="0.25">
      <c r="A460" s="4">
        <v>467</v>
      </c>
      <c r="B460" s="217" t="s">
        <v>44</v>
      </c>
      <c r="C460" s="8">
        <f>INDEX(Data!M:M,MATCH(Q460,Data!AM:AM,0))</f>
        <v>0</v>
      </c>
      <c r="D460" s="8">
        <f>INDEX(Data!O:O,MATCH(Q460,Data!AM:AM,0))</f>
        <v>0</v>
      </c>
      <c r="E460" s="1" t="e">
        <f>INDEX(Data!T:T,MATCH($P460,Data!$AL:$AL,0))</f>
        <v>#N/A</v>
      </c>
      <c r="F460" s="1" t="e">
        <f>INDEX(Data!P:P,MATCH($P460,Data!$AL:$AL,0))</f>
        <v>#N/A</v>
      </c>
      <c r="G460" s="1" t="e">
        <f>INDEX(Data!Z:Z,MATCH($P460,Data!$AL:$AL,0))</f>
        <v>#N/A</v>
      </c>
      <c r="H460" s="1" t="e">
        <f>INDEX(Data!AA:AA,MATCH($P460,Data!$AL:$AL,0))</f>
        <v>#N/A</v>
      </c>
      <c r="I460" s="1" t="e">
        <f>INDEX(Data!AB:AB,MATCH($P460,Data!$AL:$AL,0))</f>
        <v>#N/A</v>
      </c>
      <c r="J460" s="1" t="e">
        <f>INDEX(Data!V:V,MATCH($P460,Data!$AL:$AL,0))</f>
        <v>#N/A</v>
      </c>
      <c r="K460" s="1" t="e">
        <f>INDEX(Data!W:W,MATCH($P460,Data!$AL:$AL,0))</f>
        <v>#N/A</v>
      </c>
      <c r="L460" s="1" t="e">
        <f>INDEX(Data!X:X,MATCH($P460,Data!$AL:$AL,0))</f>
        <v>#N/A</v>
      </c>
      <c r="M460" s="1" t="e">
        <f>INDEX(Data!AD:AD,MATCH($P460,Data!$AL:$AL,0))</f>
        <v>#N/A</v>
      </c>
      <c r="N460" s="1" t="e">
        <f>INDEX(Data!AF:AF,MATCH($P460,Data!$AL:$AL,0))</f>
        <v>#N/A</v>
      </c>
      <c r="O460" s="1" t="e">
        <f>INDEX(Data!Q:Q,MATCH($P460,Data!$AL:$AL,0))</f>
        <v>#N/A</v>
      </c>
      <c r="P460" s="1"/>
      <c r="Q460" s="4" t="str">
        <f t="shared" si="7"/>
        <v>SPACL</v>
      </c>
    </row>
    <row r="461" spans="1:17" x14ac:dyDescent="0.25">
      <c r="A461" s="3">
        <v>468</v>
      </c>
      <c r="B461" s="218" t="s">
        <v>40</v>
      </c>
      <c r="C461" s="6">
        <f>INDEX(Data!M:M,MATCH(Q461,Data!AM:AM,0))</f>
        <v>0</v>
      </c>
      <c r="D461" s="6">
        <f>INDEX(Data!O:O,MATCH(Q461,Data!AM:AM,0))</f>
        <v>0</v>
      </c>
      <c r="E461" s="2" t="e">
        <f>INDEX(Data!T:T,MATCH($P461,Data!$AL:$AL,0))</f>
        <v>#N/A</v>
      </c>
      <c r="F461" s="2" t="e">
        <f>INDEX(Data!P:P,MATCH($P461,Data!$AL:$AL,0))</f>
        <v>#N/A</v>
      </c>
      <c r="G461" s="2" t="e">
        <f>INDEX(Data!Z:Z,MATCH($P461,Data!$AL:$AL,0))</f>
        <v>#N/A</v>
      </c>
      <c r="H461" s="2" t="e">
        <f>INDEX(Data!AA:AA,MATCH($P461,Data!$AL:$AL,0))</f>
        <v>#N/A</v>
      </c>
      <c r="I461" s="2" t="e">
        <f>INDEX(Data!AB:AB,MATCH($P461,Data!$AL:$AL,0))</f>
        <v>#N/A</v>
      </c>
      <c r="J461" s="2" t="e">
        <f>INDEX(Data!V:V,MATCH($P461,Data!$AL:$AL,0))</f>
        <v>#N/A</v>
      </c>
      <c r="K461" s="2" t="e">
        <f>INDEX(Data!W:W,MATCH($P461,Data!$AL:$AL,0))</f>
        <v>#N/A</v>
      </c>
      <c r="L461" s="2" t="e">
        <f>INDEX(Data!X:X,MATCH($P461,Data!$AL:$AL,0))</f>
        <v>#N/A</v>
      </c>
      <c r="M461" s="2" t="e">
        <f>INDEX(Data!AD:AD,MATCH($P461,Data!$AL:$AL,0))</f>
        <v>#N/A</v>
      </c>
      <c r="N461" s="2" t="e">
        <f>INDEX(Data!AF:AF,MATCH($P461,Data!$AL:$AL,0))</f>
        <v>#N/A</v>
      </c>
      <c r="O461" s="2" t="e">
        <f>INDEX(Data!Q:Q,MATCH($P461,Data!$AL:$AL,0))</f>
        <v>#N/A</v>
      </c>
      <c r="Q461" s="3" t="str">
        <f t="shared" si="7"/>
        <v>NCL</v>
      </c>
    </row>
    <row r="462" spans="1:17" x14ac:dyDescent="0.25">
      <c r="A462" s="3">
        <v>469</v>
      </c>
      <c r="B462" s="216" t="s">
        <v>41</v>
      </c>
      <c r="C462" s="7">
        <f>INDEX(Data!M:M,MATCH(Q462,Data!AM:AM,0))</f>
        <v>0</v>
      </c>
      <c r="D462" s="7">
        <f>INDEX(Data!O:O,MATCH(Q462,Data!AM:AM,0))</f>
        <v>0</v>
      </c>
      <c r="E462" t="e">
        <f>INDEX(Data!T:T,MATCH($P462,Data!$AL:$AL,0))</f>
        <v>#N/A</v>
      </c>
      <c r="F462" t="e">
        <f>INDEX(Data!P:P,MATCH($P462,Data!$AL:$AL,0))</f>
        <v>#N/A</v>
      </c>
      <c r="G462" t="e">
        <f>INDEX(Data!Z:Z,MATCH($P462,Data!$AL:$AL,0))</f>
        <v>#N/A</v>
      </c>
      <c r="H462" t="e">
        <f>INDEX(Data!AA:AA,MATCH($P462,Data!$AL:$AL,0))</f>
        <v>#N/A</v>
      </c>
      <c r="I462" t="e">
        <f>INDEX(Data!AB:AB,MATCH($P462,Data!$AL:$AL,0))</f>
        <v>#N/A</v>
      </c>
      <c r="J462" t="e">
        <f>INDEX(Data!V:V,MATCH($P462,Data!$AL:$AL,0))</f>
        <v>#N/A</v>
      </c>
      <c r="K462" t="e">
        <f>INDEX(Data!W:W,MATCH($P462,Data!$AL:$AL,0))</f>
        <v>#N/A</v>
      </c>
      <c r="L462" t="e">
        <f>INDEX(Data!X:X,MATCH($P462,Data!$AL:$AL,0))</f>
        <v>#N/A</v>
      </c>
      <c r="M462" t="e">
        <f>INDEX(Data!AD:AD,MATCH($P462,Data!$AL:$AL,0))</f>
        <v>#N/A</v>
      </c>
      <c r="N462" t="e">
        <f>INDEX(Data!AF:AF,MATCH($P462,Data!$AL:$AL,0))</f>
        <v>#N/A</v>
      </c>
      <c r="O462" t="e">
        <f>INDEX(Data!Q:Q,MATCH($P462,Data!$AL:$AL,0))</f>
        <v>#N/A</v>
      </c>
      <c r="Q462" s="3" t="str">
        <f t="shared" si="7"/>
        <v>CL</v>
      </c>
    </row>
    <row r="463" spans="1:17" x14ac:dyDescent="0.25">
      <c r="A463" s="3">
        <v>470</v>
      </c>
      <c r="B463" s="216" t="s">
        <v>42</v>
      </c>
      <c r="C463" s="7">
        <f>INDEX(Data!M:M,MATCH(Q463,Data!AM:AM,0))</f>
        <v>0</v>
      </c>
      <c r="D463" s="7">
        <f>INDEX(Data!O:O,MATCH(Q463,Data!AM:AM,0))</f>
        <v>0</v>
      </c>
      <c r="E463" t="e">
        <f>INDEX(Data!T:T,MATCH($P463,Data!$AL:$AL,0))</f>
        <v>#N/A</v>
      </c>
      <c r="F463" t="e">
        <f>INDEX(Data!P:P,MATCH($P463,Data!$AL:$AL,0))</f>
        <v>#N/A</v>
      </c>
      <c r="G463" t="e">
        <f>INDEX(Data!Z:Z,MATCH($P463,Data!$AL:$AL,0))</f>
        <v>#N/A</v>
      </c>
      <c r="H463" t="e">
        <f>INDEX(Data!AA:AA,MATCH($P463,Data!$AL:$AL,0))</f>
        <v>#N/A</v>
      </c>
      <c r="I463" t="e">
        <f>INDEX(Data!AB:AB,MATCH($P463,Data!$AL:$AL,0))</f>
        <v>#N/A</v>
      </c>
      <c r="J463" t="e">
        <f>INDEX(Data!V:V,MATCH($P463,Data!$AL:$AL,0))</f>
        <v>#N/A</v>
      </c>
      <c r="K463" t="e">
        <f>INDEX(Data!W:W,MATCH($P463,Data!$AL:$AL,0))</f>
        <v>#N/A</v>
      </c>
      <c r="L463" t="e">
        <f>INDEX(Data!X:X,MATCH($P463,Data!$AL:$AL,0))</f>
        <v>#N/A</v>
      </c>
      <c r="M463" t="e">
        <f>INDEX(Data!AD:AD,MATCH($P463,Data!$AL:$AL,0))</f>
        <v>#N/A</v>
      </c>
      <c r="N463" t="e">
        <f>INDEX(Data!AF:AF,MATCH($P463,Data!$AL:$AL,0))</f>
        <v>#N/A</v>
      </c>
      <c r="O463" t="e">
        <f>INDEX(Data!Q:Q,MATCH($P463,Data!$AL:$AL,0))</f>
        <v>#N/A</v>
      </c>
      <c r="Q463" s="3" t="str">
        <f t="shared" si="7"/>
        <v>ACL</v>
      </c>
    </row>
    <row r="464" spans="1:17" x14ac:dyDescent="0.25">
      <c r="A464" s="3">
        <v>471</v>
      </c>
      <c r="B464" s="216" t="s">
        <v>43</v>
      </c>
      <c r="C464" s="7">
        <f>INDEX(Data!M:M,MATCH(Q464,Data!AM:AM,0))</f>
        <v>0</v>
      </c>
      <c r="D464" s="7">
        <f>INDEX(Data!O:O,MATCH(Q464,Data!AM:AM,0))</f>
        <v>0</v>
      </c>
      <c r="E464" t="e">
        <f>INDEX(Data!T:T,MATCH($P464,Data!$AL:$AL,0))</f>
        <v>#N/A</v>
      </c>
      <c r="F464" t="e">
        <f>INDEX(Data!P:P,MATCH($P464,Data!$AL:$AL,0))</f>
        <v>#N/A</v>
      </c>
      <c r="G464" t="e">
        <f>INDEX(Data!Z:Z,MATCH($P464,Data!$AL:$AL,0))</f>
        <v>#N/A</v>
      </c>
      <c r="H464" t="e">
        <f>INDEX(Data!AA:AA,MATCH($P464,Data!$AL:$AL,0))</f>
        <v>#N/A</v>
      </c>
      <c r="I464" t="e">
        <f>INDEX(Data!AB:AB,MATCH($P464,Data!$AL:$AL,0))</f>
        <v>#N/A</v>
      </c>
      <c r="J464" t="e">
        <f>INDEX(Data!V:V,MATCH($P464,Data!$AL:$AL,0))</f>
        <v>#N/A</v>
      </c>
      <c r="K464" t="e">
        <f>INDEX(Data!W:W,MATCH($P464,Data!$AL:$AL,0))</f>
        <v>#N/A</v>
      </c>
      <c r="L464" t="e">
        <f>INDEX(Data!X:X,MATCH($P464,Data!$AL:$AL,0))</f>
        <v>#N/A</v>
      </c>
      <c r="M464" t="e">
        <f>INDEX(Data!AD:AD,MATCH($P464,Data!$AL:$AL,0))</f>
        <v>#N/A</v>
      </c>
      <c r="N464" t="e">
        <f>INDEX(Data!AF:AF,MATCH($P464,Data!$AL:$AL,0))</f>
        <v>#N/A</v>
      </c>
      <c r="O464" t="e">
        <f>INDEX(Data!Q:Q,MATCH($P464,Data!$AL:$AL,0))</f>
        <v>#N/A</v>
      </c>
      <c r="Q464" s="3" t="str">
        <f t="shared" si="7"/>
        <v>SPCL</v>
      </c>
    </row>
    <row r="465" spans="1:17" x14ac:dyDescent="0.25">
      <c r="A465" s="4">
        <v>472</v>
      </c>
      <c r="B465" s="217" t="s">
        <v>44</v>
      </c>
      <c r="C465" s="8">
        <f>INDEX(Data!M:M,MATCH(Q465,Data!AM:AM,0))</f>
        <v>0</v>
      </c>
      <c r="D465" s="8">
        <f>INDEX(Data!O:O,MATCH(Q465,Data!AM:AM,0))</f>
        <v>0</v>
      </c>
      <c r="E465" s="1" t="e">
        <f>INDEX(Data!T:T,MATCH($P465,Data!$AL:$AL,0))</f>
        <v>#N/A</v>
      </c>
      <c r="F465" s="1" t="e">
        <f>INDEX(Data!P:P,MATCH($P465,Data!$AL:$AL,0))</f>
        <v>#N/A</v>
      </c>
      <c r="G465" s="1" t="e">
        <f>INDEX(Data!Z:Z,MATCH($P465,Data!$AL:$AL,0))</f>
        <v>#N/A</v>
      </c>
      <c r="H465" s="1" t="e">
        <f>INDEX(Data!AA:AA,MATCH($P465,Data!$AL:$AL,0))</f>
        <v>#N/A</v>
      </c>
      <c r="I465" s="1" t="e">
        <f>INDEX(Data!AB:AB,MATCH($P465,Data!$AL:$AL,0))</f>
        <v>#N/A</v>
      </c>
      <c r="J465" s="1" t="e">
        <f>INDEX(Data!V:V,MATCH($P465,Data!$AL:$AL,0))</f>
        <v>#N/A</v>
      </c>
      <c r="K465" s="1" t="e">
        <f>INDEX(Data!W:W,MATCH($P465,Data!$AL:$AL,0))</f>
        <v>#N/A</v>
      </c>
      <c r="L465" s="1" t="e">
        <f>INDEX(Data!X:X,MATCH($P465,Data!$AL:$AL,0))</f>
        <v>#N/A</v>
      </c>
      <c r="M465" s="1" t="e">
        <f>INDEX(Data!AD:AD,MATCH($P465,Data!$AL:$AL,0))</f>
        <v>#N/A</v>
      </c>
      <c r="N465" s="1" t="e">
        <f>INDEX(Data!AF:AF,MATCH($P465,Data!$AL:$AL,0))</f>
        <v>#N/A</v>
      </c>
      <c r="O465" s="1" t="e">
        <f>INDEX(Data!Q:Q,MATCH($P465,Data!$AL:$AL,0))</f>
        <v>#N/A</v>
      </c>
      <c r="P465" s="1"/>
      <c r="Q465" s="4" t="str">
        <f t="shared" si="7"/>
        <v>SPACL</v>
      </c>
    </row>
    <row r="466" spans="1:17" x14ac:dyDescent="0.25">
      <c r="A466" s="3">
        <v>473</v>
      </c>
      <c r="B466" s="218" t="s">
        <v>40</v>
      </c>
      <c r="C466" s="6">
        <f>INDEX(Data!M:M,MATCH(Q466,Data!AM:AM,0))</f>
        <v>0</v>
      </c>
      <c r="D466" s="6">
        <f>INDEX(Data!O:O,MATCH(Q466,Data!AM:AM,0))</f>
        <v>0</v>
      </c>
      <c r="E466" s="2" t="e">
        <f>INDEX(Data!T:T,MATCH($P466,Data!$AL:$AL,0))</f>
        <v>#N/A</v>
      </c>
      <c r="F466" s="2" t="e">
        <f>INDEX(Data!P:P,MATCH($P466,Data!$AL:$AL,0))</f>
        <v>#N/A</v>
      </c>
      <c r="G466" s="2" t="e">
        <f>INDEX(Data!Z:Z,MATCH($P466,Data!$AL:$AL,0))</f>
        <v>#N/A</v>
      </c>
      <c r="H466" s="2" t="e">
        <f>INDEX(Data!AA:AA,MATCH($P466,Data!$AL:$AL,0))</f>
        <v>#N/A</v>
      </c>
      <c r="I466" s="2" t="e">
        <f>INDEX(Data!AB:AB,MATCH($P466,Data!$AL:$AL,0))</f>
        <v>#N/A</v>
      </c>
      <c r="J466" s="2" t="e">
        <f>INDEX(Data!V:V,MATCH($P466,Data!$AL:$AL,0))</f>
        <v>#N/A</v>
      </c>
      <c r="K466" s="2" t="e">
        <f>INDEX(Data!W:W,MATCH($P466,Data!$AL:$AL,0))</f>
        <v>#N/A</v>
      </c>
      <c r="L466" s="2" t="e">
        <f>INDEX(Data!X:X,MATCH($P466,Data!$AL:$AL,0))</f>
        <v>#N/A</v>
      </c>
      <c r="M466" s="2" t="e">
        <f>INDEX(Data!AD:AD,MATCH($P466,Data!$AL:$AL,0))</f>
        <v>#N/A</v>
      </c>
      <c r="N466" s="2" t="e">
        <f>INDEX(Data!AF:AF,MATCH($P466,Data!$AL:$AL,0))</f>
        <v>#N/A</v>
      </c>
      <c r="O466" s="2" t="e">
        <f>INDEX(Data!Q:Q,MATCH($P466,Data!$AL:$AL,0))</f>
        <v>#N/A</v>
      </c>
      <c r="Q466" s="3" t="str">
        <f t="shared" si="7"/>
        <v>NCL</v>
      </c>
    </row>
    <row r="467" spans="1:17" x14ac:dyDescent="0.25">
      <c r="A467" s="3">
        <v>474</v>
      </c>
      <c r="B467" s="216" t="s">
        <v>41</v>
      </c>
      <c r="C467" s="7">
        <f>INDEX(Data!M:M,MATCH(Q467,Data!AM:AM,0))</f>
        <v>0</v>
      </c>
      <c r="D467" s="7">
        <f>INDEX(Data!O:O,MATCH(Q467,Data!AM:AM,0))</f>
        <v>0</v>
      </c>
      <c r="E467" t="e">
        <f>INDEX(Data!T:T,MATCH($P467,Data!$AL:$AL,0))</f>
        <v>#N/A</v>
      </c>
      <c r="F467" t="e">
        <f>INDEX(Data!P:P,MATCH($P467,Data!$AL:$AL,0))</f>
        <v>#N/A</v>
      </c>
      <c r="G467" t="e">
        <f>INDEX(Data!Z:Z,MATCH($P467,Data!$AL:$AL,0))</f>
        <v>#N/A</v>
      </c>
      <c r="H467" t="e">
        <f>INDEX(Data!AA:AA,MATCH($P467,Data!$AL:$AL,0))</f>
        <v>#N/A</v>
      </c>
      <c r="I467" t="e">
        <f>INDEX(Data!AB:AB,MATCH($P467,Data!$AL:$AL,0))</f>
        <v>#N/A</v>
      </c>
      <c r="J467" t="e">
        <f>INDEX(Data!V:V,MATCH($P467,Data!$AL:$AL,0))</f>
        <v>#N/A</v>
      </c>
      <c r="K467" t="e">
        <f>INDEX(Data!W:W,MATCH($P467,Data!$AL:$AL,0))</f>
        <v>#N/A</v>
      </c>
      <c r="L467" t="e">
        <f>INDEX(Data!X:X,MATCH($P467,Data!$AL:$AL,0))</f>
        <v>#N/A</v>
      </c>
      <c r="M467" t="e">
        <f>INDEX(Data!AD:AD,MATCH($P467,Data!$AL:$AL,0))</f>
        <v>#N/A</v>
      </c>
      <c r="N467" t="e">
        <f>INDEX(Data!AF:AF,MATCH($P467,Data!$AL:$AL,0))</f>
        <v>#N/A</v>
      </c>
      <c r="O467" t="e">
        <f>INDEX(Data!Q:Q,MATCH($P467,Data!$AL:$AL,0))</f>
        <v>#N/A</v>
      </c>
      <c r="Q467" s="3" t="str">
        <f t="shared" si="7"/>
        <v>CL</v>
      </c>
    </row>
    <row r="468" spans="1:17" x14ac:dyDescent="0.25">
      <c r="A468" s="3">
        <v>475</v>
      </c>
      <c r="B468" s="216" t="s">
        <v>42</v>
      </c>
      <c r="C468" s="7">
        <f>INDEX(Data!M:M,MATCH(Q468,Data!AM:AM,0))</f>
        <v>0</v>
      </c>
      <c r="D468" s="7">
        <f>INDEX(Data!O:O,MATCH(Q468,Data!AM:AM,0))</f>
        <v>0</v>
      </c>
      <c r="E468" t="e">
        <f>INDEX(Data!T:T,MATCH($P468,Data!$AL:$AL,0))</f>
        <v>#N/A</v>
      </c>
      <c r="F468" t="e">
        <f>INDEX(Data!P:P,MATCH($P468,Data!$AL:$AL,0))</f>
        <v>#N/A</v>
      </c>
      <c r="G468" t="e">
        <f>INDEX(Data!Z:Z,MATCH($P468,Data!$AL:$AL,0))</f>
        <v>#N/A</v>
      </c>
      <c r="H468" t="e">
        <f>INDEX(Data!AA:AA,MATCH($P468,Data!$AL:$AL,0))</f>
        <v>#N/A</v>
      </c>
      <c r="I468" t="e">
        <f>INDEX(Data!AB:AB,MATCH($P468,Data!$AL:$AL,0))</f>
        <v>#N/A</v>
      </c>
      <c r="J468" t="e">
        <f>INDEX(Data!V:V,MATCH($P468,Data!$AL:$AL,0))</f>
        <v>#N/A</v>
      </c>
      <c r="K468" t="e">
        <f>INDEX(Data!W:W,MATCH($P468,Data!$AL:$AL,0))</f>
        <v>#N/A</v>
      </c>
      <c r="L468" t="e">
        <f>INDEX(Data!X:X,MATCH($P468,Data!$AL:$AL,0))</f>
        <v>#N/A</v>
      </c>
      <c r="M468" t="e">
        <f>INDEX(Data!AD:AD,MATCH($P468,Data!$AL:$AL,0))</f>
        <v>#N/A</v>
      </c>
      <c r="N468" t="e">
        <f>INDEX(Data!AF:AF,MATCH($P468,Data!$AL:$AL,0))</f>
        <v>#N/A</v>
      </c>
      <c r="O468" t="e">
        <f>INDEX(Data!Q:Q,MATCH($P468,Data!$AL:$AL,0))</f>
        <v>#N/A</v>
      </c>
      <c r="Q468" s="3" t="str">
        <f t="shared" si="7"/>
        <v>ACL</v>
      </c>
    </row>
    <row r="469" spans="1:17" x14ac:dyDescent="0.25">
      <c r="A469" s="3">
        <v>476</v>
      </c>
      <c r="B469" s="216" t="s">
        <v>43</v>
      </c>
      <c r="C469" s="7">
        <f>INDEX(Data!M:M,MATCH(Q469,Data!AM:AM,0))</f>
        <v>0</v>
      </c>
      <c r="D469" s="7">
        <f>INDEX(Data!O:O,MATCH(Q469,Data!AM:AM,0))</f>
        <v>0</v>
      </c>
      <c r="E469" t="e">
        <f>INDEX(Data!T:T,MATCH($P469,Data!$AL:$AL,0))</f>
        <v>#N/A</v>
      </c>
      <c r="F469" t="e">
        <f>INDEX(Data!P:P,MATCH($P469,Data!$AL:$AL,0))</f>
        <v>#N/A</v>
      </c>
      <c r="G469" t="e">
        <f>INDEX(Data!Z:Z,MATCH($P469,Data!$AL:$AL,0))</f>
        <v>#N/A</v>
      </c>
      <c r="H469" t="e">
        <f>INDEX(Data!AA:AA,MATCH($P469,Data!$AL:$AL,0))</f>
        <v>#N/A</v>
      </c>
      <c r="I469" t="e">
        <f>INDEX(Data!AB:AB,MATCH($P469,Data!$AL:$AL,0))</f>
        <v>#N/A</v>
      </c>
      <c r="J469" t="e">
        <f>INDEX(Data!V:V,MATCH($P469,Data!$AL:$AL,0))</f>
        <v>#N/A</v>
      </c>
      <c r="K469" t="e">
        <f>INDEX(Data!W:W,MATCH($P469,Data!$AL:$AL,0))</f>
        <v>#N/A</v>
      </c>
      <c r="L469" t="e">
        <f>INDEX(Data!X:X,MATCH($P469,Data!$AL:$AL,0))</f>
        <v>#N/A</v>
      </c>
      <c r="M469" t="e">
        <f>INDEX(Data!AD:AD,MATCH($P469,Data!$AL:$AL,0))</f>
        <v>#N/A</v>
      </c>
      <c r="N469" t="e">
        <f>INDEX(Data!AF:AF,MATCH($P469,Data!$AL:$AL,0))</f>
        <v>#N/A</v>
      </c>
      <c r="O469" t="e">
        <f>INDEX(Data!Q:Q,MATCH($P469,Data!$AL:$AL,0))</f>
        <v>#N/A</v>
      </c>
      <c r="Q469" s="3" t="str">
        <f t="shared" si="7"/>
        <v>SPCL</v>
      </c>
    </row>
    <row r="470" spans="1:17" x14ac:dyDescent="0.25">
      <c r="A470" s="4">
        <v>477</v>
      </c>
      <c r="B470" s="217" t="s">
        <v>44</v>
      </c>
      <c r="C470" s="8">
        <f>INDEX(Data!M:M,MATCH(Q470,Data!AM:AM,0))</f>
        <v>0</v>
      </c>
      <c r="D470" s="8">
        <f>INDEX(Data!O:O,MATCH(Q470,Data!AM:AM,0))</f>
        <v>0</v>
      </c>
      <c r="E470" s="1" t="e">
        <f>INDEX(Data!T:T,MATCH($P470,Data!$AL:$AL,0))</f>
        <v>#N/A</v>
      </c>
      <c r="F470" s="1" t="e">
        <f>INDEX(Data!P:P,MATCH($P470,Data!$AL:$AL,0))</f>
        <v>#N/A</v>
      </c>
      <c r="G470" s="1" t="e">
        <f>INDEX(Data!Z:Z,MATCH($P470,Data!$AL:$AL,0))</f>
        <v>#N/A</v>
      </c>
      <c r="H470" s="1" t="e">
        <f>INDEX(Data!AA:AA,MATCH($P470,Data!$AL:$AL,0))</f>
        <v>#N/A</v>
      </c>
      <c r="I470" s="1" t="e">
        <f>INDEX(Data!AB:AB,MATCH($P470,Data!$AL:$AL,0))</f>
        <v>#N/A</v>
      </c>
      <c r="J470" s="1" t="e">
        <f>INDEX(Data!V:V,MATCH($P470,Data!$AL:$AL,0))</f>
        <v>#N/A</v>
      </c>
      <c r="K470" s="1" t="e">
        <f>INDEX(Data!W:W,MATCH($P470,Data!$AL:$AL,0))</f>
        <v>#N/A</v>
      </c>
      <c r="L470" s="1" t="e">
        <f>INDEX(Data!X:X,MATCH($P470,Data!$AL:$AL,0))</f>
        <v>#N/A</v>
      </c>
      <c r="M470" s="1" t="e">
        <f>INDEX(Data!AD:AD,MATCH($P470,Data!$AL:$AL,0))</f>
        <v>#N/A</v>
      </c>
      <c r="N470" s="1" t="e">
        <f>INDEX(Data!AF:AF,MATCH($P470,Data!$AL:$AL,0))</f>
        <v>#N/A</v>
      </c>
      <c r="O470" s="1" t="e">
        <f>INDEX(Data!Q:Q,MATCH($P470,Data!$AL:$AL,0))</f>
        <v>#N/A</v>
      </c>
      <c r="P470" s="1"/>
      <c r="Q470" s="4" t="str">
        <f t="shared" si="7"/>
        <v>SPACL</v>
      </c>
    </row>
    <row r="471" spans="1:17" x14ac:dyDescent="0.25">
      <c r="A471" s="3">
        <v>478</v>
      </c>
      <c r="B471" s="218" t="s">
        <v>40</v>
      </c>
      <c r="C471" s="6">
        <f>INDEX(Data!M:M,MATCH(Q471,Data!AM:AM,0))</f>
        <v>0</v>
      </c>
      <c r="D471" s="6">
        <f>INDEX(Data!O:O,MATCH(Q471,Data!AM:AM,0))</f>
        <v>0</v>
      </c>
      <c r="E471" s="2" t="e">
        <f>INDEX(Data!T:T,MATCH($P471,Data!$AL:$AL,0))</f>
        <v>#N/A</v>
      </c>
      <c r="F471" s="2" t="e">
        <f>INDEX(Data!P:P,MATCH($P471,Data!$AL:$AL,0))</f>
        <v>#N/A</v>
      </c>
      <c r="G471" s="2" t="e">
        <f>INDEX(Data!Z:Z,MATCH($P471,Data!$AL:$AL,0))</f>
        <v>#N/A</v>
      </c>
      <c r="H471" s="2" t="e">
        <f>INDEX(Data!AA:AA,MATCH($P471,Data!$AL:$AL,0))</f>
        <v>#N/A</v>
      </c>
      <c r="I471" s="2" t="e">
        <f>INDEX(Data!AB:AB,MATCH($P471,Data!$AL:$AL,0))</f>
        <v>#N/A</v>
      </c>
      <c r="J471" s="2" t="e">
        <f>INDEX(Data!V:V,MATCH($P471,Data!$AL:$AL,0))</f>
        <v>#N/A</v>
      </c>
      <c r="K471" s="2" t="e">
        <f>INDEX(Data!W:W,MATCH($P471,Data!$AL:$AL,0))</f>
        <v>#N/A</v>
      </c>
      <c r="L471" s="2" t="e">
        <f>INDEX(Data!X:X,MATCH($P471,Data!$AL:$AL,0))</f>
        <v>#N/A</v>
      </c>
      <c r="M471" s="2" t="e">
        <f>INDEX(Data!AD:AD,MATCH($P471,Data!$AL:$AL,0))</f>
        <v>#N/A</v>
      </c>
      <c r="N471" s="2" t="e">
        <f>INDEX(Data!AF:AF,MATCH($P471,Data!$AL:$AL,0))</f>
        <v>#N/A</v>
      </c>
      <c r="O471" s="2" t="e">
        <f>INDEX(Data!Q:Q,MATCH($P471,Data!$AL:$AL,0))</f>
        <v>#N/A</v>
      </c>
      <c r="Q471" s="3" t="str">
        <f t="shared" si="7"/>
        <v>NCL</v>
      </c>
    </row>
    <row r="472" spans="1:17" x14ac:dyDescent="0.25">
      <c r="A472" s="3">
        <v>479</v>
      </c>
      <c r="B472" s="216" t="s">
        <v>41</v>
      </c>
      <c r="C472" s="7">
        <f>INDEX(Data!M:M,MATCH(Q472,Data!AM:AM,0))</f>
        <v>0</v>
      </c>
      <c r="D472" s="7">
        <f>INDEX(Data!O:O,MATCH(Q472,Data!AM:AM,0))</f>
        <v>0</v>
      </c>
      <c r="E472" t="e">
        <f>INDEX(Data!T:T,MATCH($P472,Data!$AL:$AL,0))</f>
        <v>#N/A</v>
      </c>
      <c r="F472" t="e">
        <f>INDEX(Data!P:P,MATCH($P472,Data!$AL:$AL,0))</f>
        <v>#N/A</v>
      </c>
      <c r="G472" t="e">
        <f>INDEX(Data!Z:Z,MATCH($P472,Data!$AL:$AL,0))</f>
        <v>#N/A</v>
      </c>
      <c r="H472" t="e">
        <f>INDEX(Data!AA:AA,MATCH($P472,Data!$AL:$AL,0))</f>
        <v>#N/A</v>
      </c>
      <c r="I472" t="e">
        <f>INDEX(Data!AB:AB,MATCH($P472,Data!$AL:$AL,0))</f>
        <v>#N/A</v>
      </c>
      <c r="J472" t="e">
        <f>INDEX(Data!V:V,MATCH($P472,Data!$AL:$AL,0))</f>
        <v>#N/A</v>
      </c>
      <c r="K472" t="e">
        <f>INDEX(Data!W:W,MATCH($P472,Data!$AL:$AL,0))</f>
        <v>#N/A</v>
      </c>
      <c r="L472" t="e">
        <f>INDEX(Data!X:X,MATCH($P472,Data!$AL:$AL,0))</f>
        <v>#N/A</v>
      </c>
      <c r="M472" t="e">
        <f>INDEX(Data!AD:AD,MATCH($P472,Data!$AL:$AL,0))</f>
        <v>#N/A</v>
      </c>
      <c r="N472" t="e">
        <f>INDEX(Data!AF:AF,MATCH($P472,Data!$AL:$AL,0))</f>
        <v>#N/A</v>
      </c>
      <c r="O472" t="e">
        <f>INDEX(Data!Q:Q,MATCH($P472,Data!$AL:$AL,0))</f>
        <v>#N/A</v>
      </c>
      <c r="Q472" s="3" t="str">
        <f t="shared" si="7"/>
        <v>CL</v>
      </c>
    </row>
    <row r="473" spans="1:17" x14ac:dyDescent="0.25">
      <c r="A473" s="3">
        <v>480</v>
      </c>
      <c r="B473" s="216" t="s">
        <v>42</v>
      </c>
      <c r="C473" s="7">
        <f>INDEX(Data!M:M,MATCH(Q473,Data!AM:AM,0))</f>
        <v>0</v>
      </c>
      <c r="D473" s="7">
        <f>INDEX(Data!O:O,MATCH(Q473,Data!AM:AM,0))</f>
        <v>0</v>
      </c>
      <c r="E473" t="e">
        <f>INDEX(Data!T:T,MATCH($P473,Data!$AL:$AL,0))</f>
        <v>#N/A</v>
      </c>
      <c r="F473" t="e">
        <f>INDEX(Data!P:P,MATCH($P473,Data!$AL:$AL,0))</f>
        <v>#N/A</v>
      </c>
      <c r="G473" t="e">
        <f>INDEX(Data!Z:Z,MATCH($P473,Data!$AL:$AL,0))</f>
        <v>#N/A</v>
      </c>
      <c r="H473" t="e">
        <f>INDEX(Data!AA:AA,MATCH($P473,Data!$AL:$AL,0))</f>
        <v>#N/A</v>
      </c>
      <c r="I473" t="e">
        <f>INDEX(Data!AB:AB,MATCH($P473,Data!$AL:$AL,0))</f>
        <v>#N/A</v>
      </c>
      <c r="J473" t="e">
        <f>INDEX(Data!V:V,MATCH($P473,Data!$AL:$AL,0))</f>
        <v>#N/A</v>
      </c>
      <c r="K473" t="e">
        <f>INDEX(Data!W:W,MATCH($P473,Data!$AL:$AL,0))</f>
        <v>#N/A</v>
      </c>
      <c r="L473" t="e">
        <f>INDEX(Data!X:X,MATCH($P473,Data!$AL:$AL,0))</f>
        <v>#N/A</v>
      </c>
      <c r="M473" t="e">
        <f>INDEX(Data!AD:AD,MATCH($P473,Data!$AL:$AL,0))</f>
        <v>#N/A</v>
      </c>
      <c r="N473" t="e">
        <f>INDEX(Data!AF:AF,MATCH($P473,Data!$AL:$AL,0))</f>
        <v>#N/A</v>
      </c>
      <c r="O473" t="e">
        <f>INDEX(Data!Q:Q,MATCH($P473,Data!$AL:$AL,0))</f>
        <v>#N/A</v>
      </c>
      <c r="Q473" s="3" t="str">
        <f t="shared" si="7"/>
        <v>ACL</v>
      </c>
    </row>
    <row r="474" spans="1:17" x14ac:dyDescent="0.25">
      <c r="A474" s="3">
        <v>481</v>
      </c>
      <c r="B474" s="216" t="s">
        <v>43</v>
      </c>
      <c r="C474" s="7">
        <f>INDEX(Data!M:M,MATCH(Q474,Data!AM:AM,0))</f>
        <v>0</v>
      </c>
      <c r="D474" s="7">
        <f>INDEX(Data!O:O,MATCH(Q474,Data!AM:AM,0))</f>
        <v>0</v>
      </c>
      <c r="E474" t="e">
        <f>INDEX(Data!T:T,MATCH($P474,Data!$AL:$AL,0))</f>
        <v>#N/A</v>
      </c>
      <c r="F474" t="e">
        <f>INDEX(Data!P:P,MATCH($P474,Data!$AL:$AL,0))</f>
        <v>#N/A</v>
      </c>
      <c r="G474" t="e">
        <f>INDEX(Data!Z:Z,MATCH($P474,Data!$AL:$AL,0))</f>
        <v>#N/A</v>
      </c>
      <c r="H474" t="e">
        <f>INDEX(Data!AA:AA,MATCH($P474,Data!$AL:$AL,0))</f>
        <v>#N/A</v>
      </c>
      <c r="I474" t="e">
        <f>INDEX(Data!AB:AB,MATCH($P474,Data!$AL:$AL,0))</f>
        <v>#N/A</v>
      </c>
      <c r="J474" t="e">
        <f>INDEX(Data!V:V,MATCH($P474,Data!$AL:$AL,0))</f>
        <v>#N/A</v>
      </c>
      <c r="K474" t="e">
        <f>INDEX(Data!W:W,MATCH($P474,Data!$AL:$AL,0))</f>
        <v>#N/A</v>
      </c>
      <c r="L474" t="e">
        <f>INDEX(Data!X:X,MATCH($P474,Data!$AL:$AL,0))</f>
        <v>#N/A</v>
      </c>
      <c r="M474" t="e">
        <f>INDEX(Data!AD:AD,MATCH($P474,Data!$AL:$AL,0))</f>
        <v>#N/A</v>
      </c>
      <c r="N474" t="e">
        <f>INDEX(Data!AF:AF,MATCH($P474,Data!$AL:$AL,0))</f>
        <v>#N/A</v>
      </c>
      <c r="O474" t="e">
        <f>INDEX(Data!Q:Q,MATCH($P474,Data!$AL:$AL,0))</f>
        <v>#N/A</v>
      </c>
      <c r="Q474" s="3" t="str">
        <f t="shared" si="7"/>
        <v>SPCL</v>
      </c>
    </row>
    <row r="475" spans="1:17" x14ac:dyDescent="0.25">
      <c r="A475" s="4">
        <v>482</v>
      </c>
      <c r="B475" s="217" t="s">
        <v>44</v>
      </c>
      <c r="C475" s="8">
        <f>INDEX(Data!M:M,MATCH(Q475,Data!AM:AM,0))</f>
        <v>0</v>
      </c>
      <c r="D475" s="8">
        <f>INDEX(Data!O:O,MATCH(Q475,Data!AM:AM,0))</f>
        <v>0</v>
      </c>
      <c r="E475" s="1" t="e">
        <f>INDEX(Data!T:T,MATCH($P475,Data!$AL:$AL,0))</f>
        <v>#N/A</v>
      </c>
      <c r="F475" s="1" t="e">
        <f>INDEX(Data!P:P,MATCH($P475,Data!$AL:$AL,0))</f>
        <v>#N/A</v>
      </c>
      <c r="G475" s="1" t="e">
        <f>INDEX(Data!Z:Z,MATCH($P475,Data!$AL:$AL,0))</f>
        <v>#N/A</v>
      </c>
      <c r="H475" s="1" t="e">
        <f>INDEX(Data!AA:AA,MATCH($P475,Data!$AL:$AL,0))</f>
        <v>#N/A</v>
      </c>
      <c r="I475" s="1" t="e">
        <f>INDEX(Data!AB:AB,MATCH($P475,Data!$AL:$AL,0))</f>
        <v>#N/A</v>
      </c>
      <c r="J475" s="1" t="e">
        <f>INDEX(Data!V:V,MATCH($P475,Data!$AL:$AL,0))</f>
        <v>#N/A</v>
      </c>
      <c r="K475" s="1" t="e">
        <f>INDEX(Data!W:W,MATCH($P475,Data!$AL:$AL,0))</f>
        <v>#N/A</v>
      </c>
      <c r="L475" s="1" t="e">
        <f>INDEX(Data!X:X,MATCH($P475,Data!$AL:$AL,0))</f>
        <v>#N/A</v>
      </c>
      <c r="M475" s="1" t="e">
        <f>INDEX(Data!AD:AD,MATCH($P475,Data!$AL:$AL,0))</f>
        <v>#N/A</v>
      </c>
      <c r="N475" s="1" t="e">
        <f>INDEX(Data!AF:AF,MATCH($P475,Data!$AL:$AL,0))</f>
        <v>#N/A</v>
      </c>
      <c r="O475" s="1" t="e">
        <f>INDEX(Data!Q:Q,MATCH($P475,Data!$AL:$AL,0))</f>
        <v>#N/A</v>
      </c>
      <c r="P475" s="1"/>
      <c r="Q475" s="4" t="str">
        <f t="shared" si="7"/>
        <v>SPACL</v>
      </c>
    </row>
    <row r="476" spans="1:17" x14ac:dyDescent="0.25">
      <c r="A476" s="3">
        <v>483</v>
      </c>
      <c r="B476" s="218" t="s">
        <v>40</v>
      </c>
      <c r="C476" s="6">
        <f>INDEX(Data!M:M,MATCH(Q476,Data!AM:AM,0))</f>
        <v>0</v>
      </c>
      <c r="D476" s="6">
        <f>INDEX(Data!O:O,MATCH(Q476,Data!AM:AM,0))</f>
        <v>0</v>
      </c>
      <c r="E476" s="2" t="e">
        <f>INDEX(Data!T:T,MATCH($P476,Data!$AL:$AL,0))</f>
        <v>#N/A</v>
      </c>
      <c r="F476" s="2" t="e">
        <f>INDEX(Data!P:P,MATCH($P476,Data!$AL:$AL,0))</f>
        <v>#N/A</v>
      </c>
      <c r="G476" s="2" t="e">
        <f>INDEX(Data!Z:Z,MATCH($P476,Data!$AL:$AL,0))</f>
        <v>#N/A</v>
      </c>
      <c r="H476" s="2" t="e">
        <f>INDEX(Data!AA:AA,MATCH($P476,Data!$AL:$AL,0))</f>
        <v>#N/A</v>
      </c>
      <c r="I476" s="2" t="e">
        <f>INDEX(Data!AB:AB,MATCH($P476,Data!$AL:$AL,0))</f>
        <v>#N/A</v>
      </c>
      <c r="J476" s="2" t="e">
        <f>INDEX(Data!V:V,MATCH($P476,Data!$AL:$AL,0))</f>
        <v>#N/A</v>
      </c>
      <c r="K476" s="2" t="e">
        <f>INDEX(Data!W:W,MATCH($P476,Data!$AL:$AL,0))</f>
        <v>#N/A</v>
      </c>
      <c r="L476" s="2" t="e">
        <f>INDEX(Data!X:X,MATCH($P476,Data!$AL:$AL,0))</f>
        <v>#N/A</v>
      </c>
      <c r="M476" s="2" t="e">
        <f>INDEX(Data!AD:AD,MATCH($P476,Data!$AL:$AL,0))</f>
        <v>#N/A</v>
      </c>
      <c r="N476" s="2" t="e">
        <f>INDEX(Data!AF:AF,MATCH($P476,Data!$AL:$AL,0))</f>
        <v>#N/A</v>
      </c>
      <c r="O476" s="2" t="e">
        <f>INDEX(Data!Q:Q,MATCH($P476,Data!$AL:$AL,0))</f>
        <v>#N/A</v>
      </c>
      <c r="Q476" s="3" t="str">
        <f t="shared" si="7"/>
        <v>NCL</v>
      </c>
    </row>
    <row r="477" spans="1:17" x14ac:dyDescent="0.25">
      <c r="A477" s="3">
        <v>484</v>
      </c>
      <c r="B477" s="216" t="s">
        <v>41</v>
      </c>
      <c r="C477" s="7">
        <f>INDEX(Data!M:M,MATCH(Q477,Data!AM:AM,0))</f>
        <v>0</v>
      </c>
      <c r="D477" s="7">
        <f>INDEX(Data!O:O,MATCH(Q477,Data!AM:AM,0))</f>
        <v>0</v>
      </c>
      <c r="E477" t="e">
        <f>INDEX(Data!T:T,MATCH($P477,Data!$AL:$AL,0))</f>
        <v>#N/A</v>
      </c>
      <c r="F477" t="e">
        <f>INDEX(Data!P:P,MATCH($P477,Data!$AL:$AL,0))</f>
        <v>#N/A</v>
      </c>
      <c r="G477" t="e">
        <f>INDEX(Data!Z:Z,MATCH($P477,Data!$AL:$AL,0))</f>
        <v>#N/A</v>
      </c>
      <c r="H477" t="e">
        <f>INDEX(Data!AA:AA,MATCH($P477,Data!$AL:$AL,0))</f>
        <v>#N/A</v>
      </c>
      <c r="I477" t="e">
        <f>INDEX(Data!AB:AB,MATCH($P477,Data!$AL:$AL,0))</f>
        <v>#N/A</v>
      </c>
      <c r="J477" t="e">
        <f>INDEX(Data!V:V,MATCH($P477,Data!$AL:$AL,0))</f>
        <v>#N/A</v>
      </c>
      <c r="K477" t="e">
        <f>INDEX(Data!W:W,MATCH($P477,Data!$AL:$AL,0))</f>
        <v>#N/A</v>
      </c>
      <c r="L477" t="e">
        <f>INDEX(Data!X:X,MATCH($P477,Data!$AL:$AL,0))</f>
        <v>#N/A</v>
      </c>
      <c r="M477" t="e">
        <f>INDEX(Data!AD:AD,MATCH($P477,Data!$AL:$AL,0))</f>
        <v>#N/A</v>
      </c>
      <c r="N477" t="e">
        <f>INDEX(Data!AF:AF,MATCH($P477,Data!$AL:$AL,0))</f>
        <v>#N/A</v>
      </c>
      <c r="O477" t="e">
        <f>INDEX(Data!Q:Q,MATCH($P477,Data!$AL:$AL,0))</f>
        <v>#N/A</v>
      </c>
      <c r="Q477" s="3" t="str">
        <f t="shared" si="7"/>
        <v>CL</v>
      </c>
    </row>
    <row r="478" spans="1:17" x14ac:dyDescent="0.25">
      <c r="A478" s="3">
        <v>485</v>
      </c>
      <c r="B478" s="216" t="s">
        <v>42</v>
      </c>
      <c r="C478" s="7">
        <f>INDEX(Data!M:M,MATCH(Q478,Data!AM:AM,0))</f>
        <v>0</v>
      </c>
      <c r="D478" s="7">
        <f>INDEX(Data!O:O,MATCH(Q478,Data!AM:AM,0))</f>
        <v>0</v>
      </c>
      <c r="E478" t="e">
        <f>INDEX(Data!T:T,MATCH($P478,Data!$AL:$AL,0))</f>
        <v>#N/A</v>
      </c>
      <c r="F478" t="e">
        <f>INDEX(Data!P:P,MATCH($P478,Data!$AL:$AL,0))</f>
        <v>#N/A</v>
      </c>
      <c r="G478" t="e">
        <f>INDEX(Data!Z:Z,MATCH($P478,Data!$AL:$AL,0))</f>
        <v>#N/A</v>
      </c>
      <c r="H478" t="e">
        <f>INDEX(Data!AA:AA,MATCH($P478,Data!$AL:$AL,0))</f>
        <v>#N/A</v>
      </c>
      <c r="I478" t="e">
        <f>INDEX(Data!AB:AB,MATCH($P478,Data!$AL:$AL,0))</f>
        <v>#N/A</v>
      </c>
      <c r="J478" t="e">
        <f>INDEX(Data!V:V,MATCH($P478,Data!$AL:$AL,0))</f>
        <v>#N/A</v>
      </c>
      <c r="K478" t="e">
        <f>INDEX(Data!W:W,MATCH($P478,Data!$AL:$AL,0))</f>
        <v>#N/A</v>
      </c>
      <c r="L478" t="e">
        <f>INDEX(Data!X:X,MATCH($P478,Data!$AL:$AL,0))</f>
        <v>#N/A</v>
      </c>
      <c r="M478" t="e">
        <f>INDEX(Data!AD:AD,MATCH($P478,Data!$AL:$AL,0))</f>
        <v>#N/A</v>
      </c>
      <c r="N478" t="e">
        <f>INDEX(Data!AF:AF,MATCH($P478,Data!$AL:$AL,0))</f>
        <v>#N/A</v>
      </c>
      <c r="O478" t="e">
        <f>INDEX(Data!Q:Q,MATCH($P478,Data!$AL:$AL,0))</f>
        <v>#N/A</v>
      </c>
      <c r="Q478" s="3" t="str">
        <f t="shared" si="7"/>
        <v>ACL</v>
      </c>
    </row>
    <row r="479" spans="1:17" x14ac:dyDescent="0.25">
      <c r="A479" s="3">
        <v>486</v>
      </c>
      <c r="B479" s="216" t="s">
        <v>43</v>
      </c>
      <c r="C479" s="7">
        <f>INDEX(Data!M:M,MATCH(Q479,Data!AM:AM,0))</f>
        <v>0</v>
      </c>
      <c r="D479" s="7">
        <f>INDEX(Data!O:O,MATCH(Q479,Data!AM:AM,0))</f>
        <v>0</v>
      </c>
      <c r="E479" t="e">
        <f>INDEX(Data!T:T,MATCH($P479,Data!$AL:$AL,0))</f>
        <v>#N/A</v>
      </c>
      <c r="F479" t="e">
        <f>INDEX(Data!P:P,MATCH($P479,Data!$AL:$AL,0))</f>
        <v>#N/A</v>
      </c>
      <c r="G479" t="e">
        <f>INDEX(Data!Z:Z,MATCH($P479,Data!$AL:$AL,0))</f>
        <v>#N/A</v>
      </c>
      <c r="H479" t="e">
        <f>INDEX(Data!AA:AA,MATCH($P479,Data!$AL:$AL,0))</f>
        <v>#N/A</v>
      </c>
      <c r="I479" t="e">
        <f>INDEX(Data!AB:AB,MATCH($P479,Data!$AL:$AL,0))</f>
        <v>#N/A</v>
      </c>
      <c r="J479" t="e">
        <f>INDEX(Data!V:V,MATCH($P479,Data!$AL:$AL,0))</f>
        <v>#N/A</v>
      </c>
      <c r="K479" t="e">
        <f>INDEX(Data!W:W,MATCH($P479,Data!$AL:$AL,0))</f>
        <v>#N/A</v>
      </c>
      <c r="L479" t="e">
        <f>INDEX(Data!X:X,MATCH($P479,Data!$AL:$AL,0))</f>
        <v>#N/A</v>
      </c>
      <c r="M479" t="e">
        <f>INDEX(Data!AD:AD,MATCH($P479,Data!$AL:$AL,0))</f>
        <v>#N/A</v>
      </c>
      <c r="N479" t="e">
        <f>INDEX(Data!AF:AF,MATCH($P479,Data!$AL:$AL,0))</f>
        <v>#N/A</v>
      </c>
      <c r="O479" t="e">
        <f>INDEX(Data!Q:Q,MATCH($P479,Data!$AL:$AL,0))</f>
        <v>#N/A</v>
      </c>
      <c r="Q479" s="3" t="str">
        <f t="shared" si="7"/>
        <v>SPCL</v>
      </c>
    </row>
    <row r="480" spans="1:17" x14ac:dyDescent="0.25">
      <c r="A480" s="4">
        <v>487</v>
      </c>
      <c r="B480" s="217" t="s">
        <v>44</v>
      </c>
      <c r="C480" s="8">
        <f>INDEX(Data!M:M,MATCH(Q480,Data!AM:AM,0))</f>
        <v>0</v>
      </c>
      <c r="D480" s="8">
        <f>INDEX(Data!O:O,MATCH(Q480,Data!AM:AM,0))</f>
        <v>0</v>
      </c>
      <c r="E480" s="1" t="e">
        <f>INDEX(Data!T:T,MATCH($P480,Data!$AL:$AL,0))</f>
        <v>#N/A</v>
      </c>
      <c r="F480" s="1" t="e">
        <f>INDEX(Data!P:P,MATCH($P480,Data!$AL:$AL,0))</f>
        <v>#N/A</v>
      </c>
      <c r="G480" s="1" t="e">
        <f>INDEX(Data!Z:Z,MATCH($P480,Data!$AL:$AL,0))</f>
        <v>#N/A</v>
      </c>
      <c r="H480" s="1" t="e">
        <f>INDEX(Data!AA:AA,MATCH($P480,Data!$AL:$AL,0))</f>
        <v>#N/A</v>
      </c>
      <c r="I480" s="1" t="e">
        <f>INDEX(Data!AB:AB,MATCH($P480,Data!$AL:$AL,0))</f>
        <v>#N/A</v>
      </c>
      <c r="J480" s="1" t="e">
        <f>INDEX(Data!V:V,MATCH($P480,Data!$AL:$AL,0))</f>
        <v>#N/A</v>
      </c>
      <c r="K480" s="1" t="e">
        <f>INDEX(Data!W:W,MATCH($P480,Data!$AL:$AL,0))</f>
        <v>#N/A</v>
      </c>
      <c r="L480" s="1" t="e">
        <f>INDEX(Data!X:X,MATCH($P480,Data!$AL:$AL,0))</f>
        <v>#N/A</v>
      </c>
      <c r="M480" s="1" t="e">
        <f>INDEX(Data!AD:AD,MATCH($P480,Data!$AL:$AL,0))</f>
        <v>#N/A</v>
      </c>
      <c r="N480" s="1" t="e">
        <f>INDEX(Data!AF:AF,MATCH($P480,Data!$AL:$AL,0))</f>
        <v>#N/A</v>
      </c>
      <c r="O480" s="1" t="e">
        <f>INDEX(Data!Q:Q,MATCH($P480,Data!$AL:$AL,0))</f>
        <v>#N/A</v>
      </c>
      <c r="P480" s="1"/>
      <c r="Q480" s="4" t="str">
        <f t="shared" si="7"/>
        <v>SPACL</v>
      </c>
    </row>
    <row r="485" spans="17:17" x14ac:dyDescent="0.25">
      <c r="Q485" s="4"/>
    </row>
    <row r="490" spans="17:17" x14ac:dyDescent="0.25">
      <c r="Q490" s="4"/>
    </row>
    <row r="495" spans="17:17" x14ac:dyDescent="0.25">
      <c r="Q495" s="4"/>
    </row>
    <row r="500" spans="17:17" x14ac:dyDescent="0.25">
      <c r="Q500" s="4"/>
    </row>
    <row r="505" spans="17:17" x14ac:dyDescent="0.25">
      <c r="Q505" s="4"/>
    </row>
  </sheetData>
  <autoFilter ref="A1:R480" xr:uid="{D965C72C-02F5-423A-8A05-F3CD6EF68BDE}">
    <sortState xmlns:xlrd2="http://schemas.microsoft.com/office/spreadsheetml/2017/richdata2" ref="A2:R480">
      <sortCondition ref="A1:A480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N660"/>
  <sheetViews>
    <sheetView workbookViewId="0">
      <pane xSplit="2" ySplit="1" topLeftCell="Q2" activePane="bottomRight" state="frozen"/>
      <selection pane="topRight" activeCell="B1" sqref="B1"/>
      <selection pane="bottomLeft" activeCell="A2" sqref="A2"/>
      <selection pane="bottomRight" activeCell="V1" sqref="V1"/>
    </sheetView>
  </sheetViews>
  <sheetFormatPr defaultRowHeight="15" x14ac:dyDescent="0.25"/>
  <cols>
    <col min="1" max="1" width="4.85546875" customWidth="1"/>
    <col min="2" max="2" width="9.5703125" customWidth="1"/>
    <col min="3" max="3" width="12" customWidth="1"/>
    <col min="4" max="4" width="15.7109375" customWidth="1"/>
    <col min="5" max="5" width="15.140625" customWidth="1"/>
    <col min="6" max="6" width="14" customWidth="1"/>
    <col min="7" max="7" width="13.42578125" customWidth="1"/>
    <col min="8" max="8" width="20.5703125" customWidth="1"/>
    <col min="9" max="9" width="20" customWidth="1"/>
    <col min="10" max="10" width="19" customWidth="1"/>
    <col min="11" max="11" width="18.42578125" style="219" customWidth="1"/>
    <col min="12" max="12" width="19.7109375" style="219" customWidth="1"/>
    <col min="13" max="13" width="19.140625" style="219" customWidth="1"/>
    <col min="14" max="14" width="18.140625" style="219" customWidth="1"/>
    <col min="15" max="15" width="17.5703125" style="219" customWidth="1"/>
    <col min="16" max="16" width="12.140625" customWidth="1"/>
    <col min="17" max="17" width="13" customWidth="1"/>
    <col min="18" max="18" width="10" customWidth="1"/>
    <col min="19" max="19" width="10.7109375" customWidth="1"/>
    <col min="20" max="20" width="9.85546875" customWidth="1"/>
    <col min="21" max="22" width="11.7109375" customWidth="1"/>
    <col min="23" max="23" width="11.5703125" customWidth="1"/>
    <col min="24" max="24" width="14.28515625" customWidth="1"/>
    <col min="25" max="25" width="12.42578125" customWidth="1"/>
    <col min="26" max="26" width="11.7109375" customWidth="1"/>
    <col min="27" max="27" width="10.140625" customWidth="1"/>
    <col min="28" max="29" width="21.85546875" customWidth="1"/>
    <col min="30" max="30" width="15.42578125" customWidth="1"/>
    <col min="31" max="31" width="13.85546875" customWidth="1"/>
    <col min="32" max="32" width="14.85546875" customWidth="1"/>
    <col min="33" max="33" width="13.28515625" customWidth="1"/>
    <col min="34" max="34" width="20.140625" customWidth="1"/>
    <col min="35" max="35" width="18.5703125" customWidth="1"/>
    <col min="36" max="36" width="18" customWidth="1"/>
    <col min="37" max="37" width="10.42578125" customWidth="1"/>
    <col min="38" max="38" width="18.5703125" bestFit="1" customWidth="1"/>
    <col min="39" max="39" width="24.140625" bestFit="1" customWidth="1"/>
    <col min="40" max="40" width="11" customWidth="1"/>
  </cols>
  <sheetData>
    <row r="1" spans="1:40" x14ac:dyDescent="0.25">
      <c r="A1" t="s">
        <v>75</v>
      </c>
      <c r="B1" t="s">
        <v>76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s="219" t="s">
        <v>8</v>
      </c>
      <c r="L1" s="219" t="s">
        <v>9</v>
      </c>
      <c r="M1" s="219" t="s">
        <v>10</v>
      </c>
      <c r="N1" s="219" t="s">
        <v>11</v>
      </c>
      <c r="O1" s="219" t="s">
        <v>12</v>
      </c>
      <c r="P1" s="176" t="s">
        <v>13</v>
      </c>
      <c r="Q1" t="s">
        <v>95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78</v>
      </c>
      <c r="Y1" t="s">
        <v>20</v>
      </c>
      <c r="Z1" t="s">
        <v>21</v>
      </c>
      <c r="AA1" t="s">
        <v>22</v>
      </c>
      <c r="AB1" t="s">
        <v>110</v>
      </c>
      <c r="AC1" t="s">
        <v>111</v>
      </c>
      <c r="AD1" t="s">
        <v>24</v>
      </c>
      <c r="AE1" t="s">
        <v>26</v>
      </c>
      <c r="AF1" t="s">
        <v>25</v>
      </c>
      <c r="AG1" t="s">
        <v>27</v>
      </c>
      <c r="AH1" t="s">
        <v>28</v>
      </c>
      <c r="AI1" t="s">
        <v>29</v>
      </c>
      <c r="AJ1" t="s">
        <v>30</v>
      </c>
      <c r="AK1" t="s">
        <v>31</v>
      </c>
      <c r="AL1" t="s">
        <v>60</v>
      </c>
      <c r="AM1" t="s">
        <v>61</v>
      </c>
      <c r="AN1" t="s">
        <v>96</v>
      </c>
    </row>
    <row r="2" spans="1:40" s="2" customFormat="1" x14ac:dyDescent="0.25">
      <c r="A2" s="2">
        <v>1</v>
      </c>
      <c r="B2" s="2" t="s">
        <v>40</v>
      </c>
      <c r="C2" s="2">
        <v>10</v>
      </c>
      <c r="D2" s="2">
        <v>6</v>
      </c>
      <c r="E2" s="2">
        <v>4</v>
      </c>
      <c r="F2" s="2">
        <v>554</v>
      </c>
      <c r="G2" s="2">
        <v>999</v>
      </c>
      <c r="H2" s="88">
        <v>93</v>
      </c>
      <c r="I2" s="88">
        <v>90</v>
      </c>
      <c r="J2" s="88">
        <v>89.3</v>
      </c>
      <c r="K2" s="220">
        <v>89.2</v>
      </c>
      <c r="L2" s="221">
        <v>89.6</v>
      </c>
      <c r="M2" s="221">
        <v>88.2</v>
      </c>
      <c r="N2" s="221">
        <v>88.47</v>
      </c>
      <c r="O2" s="221">
        <v>89.15</v>
      </c>
      <c r="P2" s="177">
        <v>1000</v>
      </c>
      <c r="Q2" s="2">
        <v>10</v>
      </c>
      <c r="R2" s="2" t="s">
        <v>83</v>
      </c>
      <c r="S2" s="2" t="b">
        <v>1</v>
      </c>
      <c r="T2" s="2">
        <v>8</v>
      </c>
      <c r="U2" s="2" t="b">
        <v>0</v>
      </c>
      <c r="V2" s="2" t="s">
        <v>32</v>
      </c>
      <c r="W2" s="2" t="s">
        <v>66</v>
      </c>
      <c r="X2" s="2" t="s">
        <v>38</v>
      </c>
      <c r="Y2" s="2">
        <v>100</v>
      </c>
      <c r="Z2" s="2">
        <v>100</v>
      </c>
      <c r="AA2" s="2">
        <v>1000</v>
      </c>
      <c r="AB2" s="2" t="s">
        <v>33</v>
      </c>
      <c r="AC2" s="2" t="s">
        <v>33</v>
      </c>
      <c r="AD2" s="2" t="b">
        <v>1</v>
      </c>
      <c r="AE2" s="2" t="b">
        <v>1</v>
      </c>
      <c r="AF2" s="2" t="b">
        <v>1</v>
      </c>
      <c r="AG2" s="2" t="b">
        <v>0</v>
      </c>
      <c r="AH2" s="2">
        <v>0</v>
      </c>
      <c r="AI2" s="2">
        <v>0</v>
      </c>
      <c r="AJ2" s="2">
        <v>6.28318530717958</v>
      </c>
      <c r="AK2" s="2">
        <v>0.01</v>
      </c>
      <c r="AL2" s="2" t="s">
        <v>55</v>
      </c>
      <c r="AM2" s="2" t="str">
        <f t="shared" ref="AM2:AM65" si="0">_xlfn.CONCAT(B2,AL2)</f>
        <v>NCL2024-01-16 20-48-36</v>
      </c>
    </row>
    <row r="3" spans="1:40" x14ac:dyDescent="0.25">
      <c r="A3">
        <v>2</v>
      </c>
      <c r="B3" t="s">
        <v>41</v>
      </c>
      <c r="C3">
        <v>10</v>
      </c>
      <c r="D3">
        <v>0</v>
      </c>
      <c r="E3">
        <v>0</v>
      </c>
      <c r="F3">
        <v>946</v>
      </c>
      <c r="G3">
        <v>999</v>
      </c>
      <c r="H3" s="90">
        <v>95</v>
      </c>
      <c r="I3" s="91">
        <v>95</v>
      </c>
      <c r="J3" s="90">
        <v>92.7</v>
      </c>
      <c r="K3" s="222">
        <v>92.5</v>
      </c>
      <c r="L3" s="223">
        <v>87.2</v>
      </c>
      <c r="M3" s="223">
        <v>86.4</v>
      </c>
      <c r="N3" s="223">
        <v>86.869999999999905</v>
      </c>
      <c r="O3" s="223">
        <v>87.26</v>
      </c>
      <c r="P3" s="176">
        <v>1000</v>
      </c>
      <c r="Q3">
        <v>10</v>
      </c>
      <c r="R3" t="s">
        <v>83</v>
      </c>
      <c r="S3" t="b">
        <v>1</v>
      </c>
      <c r="T3">
        <v>8</v>
      </c>
      <c r="U3" t="b">
        <v>0</v>
      </c>
      <c r="V3" t="s">
        <v>32</v>
      </c>
      <c r="W3" t="s">
        <v>66</v>
      </c>
      <c r="X3" t="s">
        <v>38</v>
      </c>
      <c r="Y3">
        <v>100</v>
      </c>
      <c r="Z3">
        <v>100</v>
      </c>
      <c r="AA3">
        <v>1000</v>
      </c>
      <c r="AB3" t="s">
        <v>33</v>
      </c>
      <c r="AC3" t="s">
        <v>33</v>
      </c>
      <c r="AD3" t="b">
        <v>1</v>
      </c>
      <c r="AE3" t="b">
        <v>1</v>
      </c>
      <c r="AF3" t="b">
        <v>1</v>
      </c>
      <c r="AG3" t="b">
        <v>0</v>
      </c>
      <c r="AH3">
        <v>0</v>
      </c>
      <c r="AI3">
        <v>0</v>
      </c>
      <c r="AJ3">
        <v>6.28318530717958</v>
      </c>
      <c r="AK3">
        <v>0.01</v>
      </c>
      <c r="AL3" t="s">
        <v>55</v>
      </c>
      <c r="AM3" t="str">
        <f t="shared" si="0"/>
        <v>CL2024-01-16 20-48-36</v>
      </c>
    </row>
    <row r="4" spans="1:40" s="1" customFormat="1" x14ac:dyDescent="0.25">
      <c r="A4" s="1">
        <v>3</v>
      </c>
      <c r="B4" s="1" t="s">
        <v>42</v>
      </c>
      <c r="C4" s="1">
        <v>10</v>
      </c>
      <c r="D4" s="1">
        <v>1</v>
      </c>
      <c r="E4" s="1">
        <v>1</v>
      </c>
      <c r="F4" s="1">
        <v>763</v>
      </c>
      <c r="G4" s="1">
        <v>999</v>
      </c>
      <c r="H4" s="93">
        <v>100</v>
      </c>
      <c r="I4" s="93">
        <v>95</v>
      </c>
      <c r="J4" s="93">
        <v>94.9</v>
      </c>
      <c r="K4" s="224">
        <v>94.6</v>
      </c>
      <c r="L4" s="224">
        <v>96.5</v>
      </c>
      <c r="M4" s="224">
        <v>91.1</v>
      </c>
      <c r="N4" s="224">
        <v>92.9</v>
      </c>
      <c r="O4" s="224">
        <v>92.11</v>
      </c>
      <c r="P4" s="178">
        <v>1000</v>
      </c>
      <c r="Q4" s="1">
        <v>10</v>
      </c>
      <c r="R4" s="1" t="s">
        <v>83</v>
      </c>
      <c r="S4" s="1" t="b">
        <v>1</v>
      </c>
      <c r="T4" s="1">
        <v>8</v>
      </c>
      <c r="U4" s="1" t="b">
        <v>0</v>
      </c>
      <c r="V4" s="1" t="s">
        <v>32</v>
      </c>
      <c r="W4" s="1" t="s">
        <v>66</v>
      </c>
      <c r="X4" s="1" t="s">
        <v>38</v>
      </c>
      <c r="Y4" s="1">
        <v>100</v>
      </c>
      <c r="Z4" s="1">
        <v>100</v>
      </c>
      <c r="AA4" s="1">
        <v>1000</v>
      </c>
      <c r="AB4" s="1" t="s">
        <v>33</v>
      </c>
      <c r="AC4" s="1" t="s">
        <v>33</v>
      </c>
      <c r="AD4" s="1" t="b">
        <v>1</v>
      </c>
      <c r="AE4" s="1" t="b">
        <v>1</v>
      </c>
      <c r="AF4" s="1" t="b">
        <v>1</v>
      </c>
      <c r="AG4" s="1" t="b">
        <v>0</v>
      </c>
      <c r="AH4" s="1">
        <v>0</v>
      </c>
      <c r="AI4" s="1">
        <v>0</v>
      </c>
      <c r="AJ4" s="1">
        <v>6.28318530717958</v>
      </c>
      <c r="AK4" s="1">
        <v>0.01</v>
      </c>
      <c r="AL4" s="1" t="s">
        <v>55</v>
      </c>
      <c r="AM4" s="1" t="str">
        <f t="shared" si="0"/>
        <v>ACL2024-01-16 20-48-36</v>
      </c>
    </row>
    <row r="5" spans="1:40" s="2" customFormat="1" x14ac:dyDescent="0.25">
      <c r="A5" s="2">
        <v>4</v>
      </c>
      <c r="B5" s="2" t="s">
        <v>40</v>
      </c>
      <c r="C5" s="2">
        <v>10</v>
      </c>
      <c r="D5" s="2">
        <v>3</v>
      </c>
      <c r="E5" s="2">
        <v>5</v>
      </c>
      <c r="F5" s="2">
        <v>104</v>
      </c>
      <c r="G5" s="2">
        <v>999</v>
      </c>
      <c r="H5" s="94">
        <v>100</v>
      </c>
      <c r="I5" s="88">
        <v>94</v>
      </c>
      <c r="J5" s="94">
        <v>91.2</v>
      </c>
      <c r="K5" s="220">
        <v>84.9</v>
      </c>
      <c r="L5" s="221">
        <v>94</v>
      </c>
      <c r="M5" s="220">
        <v>90.2</v>
      </c>
      <c r="N5" s="221">
        <v>84.92</v>
      </c>
      <c r="O5" s="220">
        <v>83.87</v>
      </c>
      <c r="P5" s="177">
        <v>1000</v>
      </c>
      <c r="Q5" s="2">
        <v>10</v>
      </c>
      <c r="R5" s="2" t="s">
        <v>83</v>
      </c>
      <c r="S5" s="2" t="b">
        <v>1</v>
      </c>
      <c r="T5" s="2">
        <v>8</v>
      </c>
      <c r="U5" s="2" t="b">
        <v>0</v>
      </c>
      <c r="V5" s="2" t="s">
        <v>32</v>
      </c>
      <c r="W5" s="2" t="s">
        <v>66</v>
      </c>
      <c r="X5" s="2" t="s">
        <v>38</v>
      </c>
      <c r="Y5" s="2">
        <v>50</v>
      </c>
      <c r="Z5" s="2">
        <v>50</v>
      </c>
      <c r="AA5" s="2">
        <v>1000</v>
      </c>
      <c r="AB5" s="2" t="s">
        <v>34</v>
      </c>
      <c r="AC5" s="2" t="s">
        <v>34</v>
      </c>
      <c r="AD5" s="2" t="b">
        <v>1</v>
      </c>
      <c r="AE5" s="2" t="b">
        <v>1</v>
      </c>
      <c r="AF5" s="2" t="b">
        <v>1</v>
      </c>
      <c r="AG5" s="2" t="b">
        <v>0</v>
      </c>
      <c r="AH5" s="2">
        <v>0</v>
      </c>
      <c r="AI5" s="2">
        <v>0</v>
      </c>
      <c r="AJ5" s="2">
        <v>6.2831853070000001</v>
      </c>
      <c r="AK5" s="2">
        <v>0.01</v>
      </c>
      <c r="AL5" s="2" t="s">
        <v>54</v>
      </c>
      <c r="AM5" s="2" t="str">
        <f t="shared" si="0"/>
        <v>NCL2024-01-17 19-19-32</v>
      </c>
    </row>
    <row r="6" spans="1:40" x14ac:dyDescent="0.25">
      <c r="A6">
        <v>5</v>
      </c>
      <c r="B6" t="s">
        <v>41</v>
      </c>
      <c r="C6">
        <v>10</v>
      </c>
      <c r="D6">
        <v>9</v>
      </c>
      <c r="E6">
        <v>9</v>
      </c>
      <c r="F6">
        <v>809</v>
      </c>
      <c r="G6">
        <v>999</v>
      </c>
      <c r="H6" s="92">
        <v>98</v>
      </c>
      <c r="I6" s="91">
        <v>96</v>
      </c>
      <c r="J6" s="92">
        <v>85.1</v>
      </c>
      <c r="K6" s="225">
        <v>88.5</v>
      </c>
      <c r="L6" s="223">
        <v>91.2</v>
      </c>
      <c r="M6" s="222">
        <v>90.4</v>
      </c>
      <c r="N6" s="223">
        <v>82.66</v>
      </c>
      <c r="O6" s="222">
        <v>84.89</v>
      </c>
      <c r="P6" s="176">
        <v>1000</v>
      </c>
      <c r="Q6">
        <v>10</v>
      </c>
      <c r="R6" t="s">
        <v>83</v>
      </c>
      <c r="S6" t="b">
        <v>1</v>
      </c>
      <c r="T6">
        <v>8</v>
      </c>
      <c r="U6" t="b">
        <v>0</v>
      </c>
      <c r="V6" t="s">
        <v>32</v>
      </c>
      <c r="W6" t="s">
        <v>66</v>
      </c>
      <c r="X6" t="s">
        <v>38</v>
      </c>
      <c r="Y6">
        <v>50</v>
      </c>
      <c r="Z6">
        <v>50</v>
      </c>
      <c r="AA6">
        <v>1000</v>
      </c>
      <c r="AB6" t="s">
        <v>34</v>
      </c>
      <c r="AC6" t="s">
        <v>34</v>
      </c>
      <c r="AD6" t="b">
        <v>1</v>
      </c>
      <c r="AE6" t="b">
        <v>1</v>
      </c>
      <c r="AF6" t="b">
        <v>1</v>
      </c>
      <c r="AG6" t="b">
        <v>0</v>
      </c>
      <c r="AH6">
        <v>0</v>
      </c>
      <c r="AI6">
        <v>0</v>
      </c>
      <c r="AJ6">
        <v>6.2831853070000001</v>
      </c>
      <c r="AK6">
        <v>0.01</v>
      </c>
      <c r="AL6" t="s">
        <v>54</v>
      </c>
      <c r="AM6" t="str">
        <f t="shared" si="0"/>
        <v>CL2024-01-17 19-19-32</v>
      </c>
    </row>
    <row r="7" spans="1:40" s="1" customFormat="1" x14ac:dyDescent="0.25">
      <c r="A7" s="1">
        <v>6</v>
      </c>
      <c r="B7" s="1" t="s">
        <v>42</v>
      </c>
      <c r="C7" s="1">
        <v>10</v>
      </c>
      <c r="D7" s="1">
        <v>1</v>
      </c>
      <c r="E7" s="1">
        <v>1</v>
      </c>
      <c r="F7" s="1">
        <v>906</v>
      </c>
      <c r="G7" s="1">
        <v>999</v>
      </c>
      <c r="H7" s="95">
        <v>98</v>
      </c>
      <c r="I7" s="93">
        <v>96</v>
      </c>
      <c r="J7" s="96">
        <v>87.2</v>
      </c>
      <c r="K7" s="226">
        <v>85.8</v>
      </c>
      <c r="L7" s="224">
        <v>94.6</v>
      </c>
      <c r="M7" s="224">
        <v>93.4</v>
      </c>
      <c r="N7" s="224">
        <v>88.5</v>
      </c>
      <c r="O7" s="224">
        <v>88.71</v>
      </c>
      <c r="P7" s="178">
        <v>1000</v>
      </c>
      <c r="Q7" s="1">
        <v>10</v>
      </c>
      <c r="R7" s="1" t="s">
        <v>83</v>
      </c>
      <c r="S7" s="1" t="b">
        <v>1</v>
      </c>
      <c r="T7" s="1">
        <v>8</v>
      </c>
      <c r="U7" s="1" t="b">
        <v>0</v>
      </c>
      <c r="V7" s="1" t="s">
        <v>32</v>
      </c>
      <c r="W7" s="1" t="s">
        <v>66</v>
      </c>
      <c r="X7" s="1" t="s">
        <v>38</v>
      </c>
      <c r="Y7" s="1">
        <v>50</v>
      </c>
      <c r="Z7" s="1">
        <v>50</v>
      </c>
      <c r="AA7" s="1">
        <v>1000</v>
      </c>
      <c r="AB7" s="1" t="s">
        <v>34</v>
      </c>
      <c r="AC7" s="1" t="s">
        <v>34</v>
      </c>
      <c r="AD7" s="1" t="b">
        <v>1</v>
      </c>
      <c r="AE7" s="1" t="b">
        <v>1</v>
      </c>
      <c r="AF7" s="1" t="b">
        <v>1</v>
      </c>
      <c r="AG7" s="1" t="b">
        <v>0</v>
      </c>
      <c r="AH7" s="1">
        <v>0</v>
      </c>
      <c r="AI7" s="1">
        <v>0</v>
      </c>
      <c r="AJ7" s="1">
        <v>6.2831853070000001</v>
      </c>
      <c r="AK7" s="1">
        <v>0.01</v>
      </c>
      <c r="AL7" s="1" t="s">
        <v>54</v>
      </c>
      <c r="AM7" s="1" t="str">
        <f t="shared" si="0"/>
        <v>ACL2024-01-17 19-19-32</v>
      </c>
    </row>
    <row r="8" spans="1:40" s="2" customFormat="1" x14ac:dyDescent="0.25">
      <c r="A8" s="2">
        <v>7</v>
      </c>
      <c r="B8" s="2" t="s">
        <v>40</v>
      </c>
      <c r="C8" s="2">
        <v>10</v>
      </c>
      <c r="D8" s="2">
        <v>1</v>
      </c>
      <c r="E8" s="2">
        <v>3</v>
      </c>
      <c r="F8" s="2">
        <v>189</v>
      </c>
      <c r="G8" s="2">
        <v>999</v>
      </c>
      <c r="H8" s="94">
        <v>99</v>
      </c>
      <c r="I8" s="88">
        <v>92</v>
      </c>
      <c r="J8" s="89">
        <v>94.7</v>
      </c>
      <c r="K8" s="220">
        <v>85.7</v>
      </c>
      <c r="L8" s="227">
        <v>96.3</v>
      </c>
      <c r="M8" s="221">
        <v>92.1</v>
      </c>
      <c r="N8" s="227">
        <v>89.75</v>
      </c>
      <c r="O8" s="221">
        <v>88.2</v>
      </c>
      <c r="P8" s="177">
        <v>1000</v>
      </c>
      <c r="Q8" s="2">
        <v>10</v>
      </c>
      <c r="R8" s="2" t="s">
        <v>83</v>
      </c>
      <c r="S8" s="2" t="b">
        <v>1</v>
      </c>
      <c r="T8" s="2">
        <v>8</v>
      </c>
      <c r="U8" s="2" t="b">
        <v>0</v>
      </c>
      <c r="V8" s="2" t="s">
        <v>32</v>
      </c>
      <c r="W8" s="2" t="s">
        <v>66</v>
      </c>
      <c r="X8" s="2" t="s">
        <v>38</v>
      </c>
      <c r="Y8" s="2">
        <v>100</v>
      </c>
      <c r="Z8" s="2">
        <v>100</v>
      </c>
      <c r="AA8" s="2">
        <v>1000</v>
      </c>
      <c r="AB8" s="2" t="s">
        <v>34</v>
      </c>
      <c r="AC8" s="2" t="s">
        <v>34</v>
      </c>
      <c r="AD8" s="2" t="b">
        <v>0</v>
      </c>
      <c r="AE8" s="2" t="b">
        <v>0</v>
      </c>
      <c r="AF8" s="2" t="b">
        <v>1</v>
      </c>
      <c r="AG8" s="2" t="b">
        <v>0</v>
      </c>
      <c r="AH8" s="2">
        <v>0</v>
      </c>
      <c r="AI8" s="2">
        <v>0</v>
      </c>
      <c r="AJ8" s="2">
        <v>6.2831853070000001</v>
      </c>
      <c r="AK8" s="2">
        <v>0.01</v>
      </c>
      <c r="AL8" s="2" t="s">
        <v>53</v>
      </c>
      <c r="AM8" s="2" t="str">
        <f t="shared" si="0"/>
        <v>NCL2024-01-17 21-35-00</v>
      </c>
    </row>
    <row r="9" spans="1:40" x14ac:dyDescent="0.25">
      <c r="A9">
        <v>8</v>
      </c>
      <c r="B9" t="s">
        <v>41</v>
      </c>
      <c r="C9">
        <v>10</v>
      </c>
      <c r="D9">
        <v>4</v>
      </c>
      <c r="E9">
        <v>4</v>
      </c>
      <c r="F9">
        <v>805</v>
      </c>
      <c r="G9">
        <v>999</v>
      </c>
      <c r="H9" s="91">
        <v>99</v>
      </c>
      <c r="I9" s="91">
        <v>99</v>
      </c>
      <c r="J9" s="91">
        <v>95.4</v>
      </c>
      <c r="K9" s="225">
        <v>93.7</v>
      </c>
      <c r="L9" s="223">
        <v>88.4</v>
      </c>
      <c r="M9" s="223">
        <v>85.6</v>
      </c>
      <c r="N9" s="223">
        <v>80.87</v>
      </c>
      <c r="O9" s="223">
        <v>80.61</v>
      </c>
      <c r="P9" s="176">
        <v>1000</v>
      </c>
      <c r="Q9">
        <v>10</v>
      </c>
      <c r="R9" t="s">
        <v>83</v>
      </c>
      <c r="S9" t="b">
        <v>1</v>
      </c>
      <c r="T9">
        <v>8</v>
      </c>
      <c r="U9" t="b">
        <v>0</v>
      </c>
      <c r="V9" t="s">
        <v>32</v>
      </c>
      <c r="W9" t="s">
        <v>66</v>
      </c>
      <c r="X9" t="s">
        <v>38</v>
      </c>
      <c r="Y9">
        <v>100</v>
      </c>
      <c r="Z9">
        <v>100</v>
      </c>
      <c r="AA9">
        <v>1000</v>
      </c>
      <c r="AB9" t="s">
        <v>34</v>
      </c>
      <c r="AC9" t="s">
        <v>34</v>
      </c>
      <c r="AD9" t="b">
        <v>0</v>
      </c>
      <c r="AE9" t="b">
        <v>0</v>
      </c>
      <c r="AF9" t="b">
        <v>1</v>
      </c>
      <c r="AG9" t="b">
        <v>0</v>
      </c>
      <c r="AH9">
        <v>0</v>
      </c>
      <c r="AI9">
        <v>0</v>
      </c>
      <c r="AJ9">
        <v>6.2831853070000001</v>
      </c>
      <c r="AK9">
        <v>0.01</v>
      </c>
      <c r="AL9" t="s">
        <v>53</v>
      </c>
      <c r="AM9" t="str">
        <f t="shared" si="0"/>
        <v>CL2024-01-17 21-35-00</v>
      </c>
    </row>
    <row r="10" spans="1:40" s="1" customFormat="1" x14ac:dyDescent="0.25">
      <c r="A10" s="1">
        <v>9</v>
      </c>
      <c r="B10" s="1" t="s">
        <v>42</v>
      </c>
      <c r="C10" s="1">
        <v>10</v>
      </c>
      <c r="D10" s="1">
        <v>3</v>
      </c>
      <c r="E10" s="1">
        <v>9</v>
      </c>
      <c r="F10" s="1">
        <v>837</v>
      </c>
      <c r="G10" s="1">
        <v>999</v>
      </c>
      <c r="H10" s="95">
        <v>98</v>
      </c>
      <c r="I10" s="96">
        <v>96</v>
      </c>
      <c r="J10" s="95">
        <v>92.1</v>
      </c>
      <c r="K10" s="226">
        <v>91</v>
      </c>
      <c r="L10" s="226">
        <v>95</v>
      </c>
      <c r="M10" s="224">
        <v>94</v>
      </c>
      <c r="N10" s="226">
        <v>88.64</v>
      </c>
      <c r="O10" s="224">
        <v>88.55</v>
      </c>
      <c r="P10" s="178">
        <v>1000</v>
      </c>
      <c r="Q10" s="1">
        <v>10</v>
      </c>
      <c r="R10" s="1" t="s">
        <v>83</v>
      </c>
      <c r="S10" s="1" t="b">
        <v>1</v>
      </c>
      <c r="T10" s="1">
        <v>8</v>
      </c>
      <c r="U10" s="1" t="b">
        <v>0</v>
      </c>
      <c r="V10" s="1" t="s">
        <v>32</v>
      </c>
      <c r="W10" s="1" t="s">
        <v>66</v>
      </c>
      <c r="X10" s="1" t="s">
        <v>38</v>
      </c>
      <c r="Y10" s="1">
        <v>100</v>
      </c>
      <c r="Z10" s="1">
        <v>100</v>
      </c>
      <c r="AA10" s="1">
        <v>1000</v>
      </c>
      <c r="AB10" s="1" t="s">
        <v>34</v>
      </c>
      <c r="AC10" s="1" t="s">
        <v>34</v>
      </c>
      <c r="AD10" s="1" t="b">
        <v>0</v>
      </c>
      <c r="AE10" s="1" t="b">
        <v>0</v>
      </c>
      <c r="AF10" s="1" t="b">
        <v>1</v>
      </c>
      <c r="AG10" s="1" t="b">
        <v>0</v>
      </c>
      <c r="AH10" s="1">
        <v>0</v>
      </c>
      <c r="AI10" s="1">
        <v>0</v>
      </c>
      <c r="AJ10" s="1">
        <v>6.2831853070000001</v>
      </c>
      <c r="AK10" s="1">
        <v>0.01</v>
      </c>
      <c r="AL10" s="1" t="s">
        <v>53</v>
      </c>
      <c r="AM10" s="1" t="str">
        <f t="shared" si="0"/>
        <v>ACL2024-01-17 21-35-00</v>
      </c>
    </row>
    <row r="11" spans="1:40" s="2" customFormat="1" x14ac:dyDescent="0.25">
      <c r="A11" s="2">
        <v>10</v>
      </c>
      <c r="B11" s="2" t="s">
        <v>40</v>
      </c>
      <c r="C11" s="2">
        <v>10</v>
      </c>
      <c r="D11" s="2">
        <v>3</v>
      </c>
      <c r="E11" s="2">
        <v>0</v>
      </c>
      <c r="F11" s="2">
        <v>153</v>
      </c>
      <c r="G11" s="2">
        <v>999</v>
      </c>
      <c r="H11" s="88">
        <v>97</v>
      </c>
      <c r="I11" s="89">
        <v>96</v>
      </c>
      <c r="J11" s="88">
        <v>88.8</v>
      </c>
      <c r="K11" s="221">
        <v>87.8</v>
      </c>
      <c r="L11" s="221">
        <v>94</v>
      </c>
      <c r="M11" s="221">
        <v>92.7</v>
      </c>
      <c r="N11" s="221">
        <v>85.8</v>
      </c>
      <c r="O11" s="221">
        <v>86.15</v>
      </c>
      <c r="P11" s="177">
        <v>1000</v>
      </c>
      <c r="Q11" s="2">
        <v>10</v>
      </c>
      <c r="R11" s="2" t="s">
        <v>83</v>
      </c>
      <c r="S11" s="2" t="b">
        <v>1</v>
      </c>
      <c r="T11" s="2">
        <v>8</v>
      </c>
      <c r="U11" s="2" t="b">
        <v>0</v>
      </c>
      <c r="V11" s="2" t="s">
        <v>32</v>
      </c>
      <c r="W11" s="2" t="s">
        <v>66</v>
      </c>
      <c r="X11" s="2" t="s">
        <v>38</v>
      </c>
      <c r="Y11" s="2">
        <v>100</v>
      </c>
      <c r="Z11" s="2">
        <v>100</v>
      </c>
      <c r="AA11" s="2">
        <v>1000</v>
      </c>
      <c r="AB11" s="2" t="s">
        <v>34</v>
      </c>
      <c r="AC11" s="2" t="s">
        <v>34</v>
      </c>
      <c r="AD11" s="2" t="b">
        <v>1</v>
      </c>
      <c r="AE11" s="2" t="b">
        <v>1</v>
      </c>
      <c r="AF11" s="2" t="b">
        <v>1</v>
      </c>
      <c r="AG11" s="2" t="b">
        <v>0</v>
      </c>
      <c r="AH11" s="2">
        <v>0</v>
      </c>
      <c r="AI11" s="2">
        <v>0</v>
      </c>
      <c r="AJ11" s="2">
        <v>6.28318530717958</v>
      </c>
      <c r="AK11" s="2">
        <v>0.01</v>
      </c>
      <c r="AL11" s="2" t="s">
        <v>52</v>
      </c>
      <c r="AM11" s="2" t="str">
        <f t="shared" si="0"/>
        <v>NCL2024-01-18 07-30-47</v>
      </c>
    </row>
    <row r="12" spans="1:40" x14ac:dyDescent="0.25">
      <c r="A12">
        <v>11</v>
      </c>
      <c r="B12" t="s">
        <v>41</v>
      </c>
      <c r="C12">
        <v>10</v>
      </c>
      <c r="D12">
        <v>6</v>
      </c>
      <c r="E12">
        <v>6</v>
      </c>
      <c r="F12">
        <v>902</v>
      </c>
      <c r="G12">
        <v>999</v>
      </c>
      <c r="H12" s="90">
        <v>98</v>
      </c>
      <c r="I12" s="91">
        <v>98</v>
      </c>
      <c r="J12" s="91">
        <v>89.8</v>
      </c>
      <c r="K12" s="225">
        <v>91.2</v>
      </c>
      <c r="L12" s="223">
        <v>93.1</v>
      </c>
      <c r="M12" s="223">
        <v>91.7</v>
      </c>
      <c r="N12" s="223">
        <v>85.01</v>
      </c>
      <c r="O12" s="223">
        <v>84.789999999999907</v>
      </c>
      <c r="P12" s="176">
        <v>1000</v>
      </c>
      <c r="Q12">
        <v>10</v>
      </c>
      <c r="R12" t="s">
        <v>83</v>
      </c>
      <c r="S12" t="b">
        <v>1</v>
      </c>
      <c r="T12">
        <v>8</v>
      </c>
      <c r="U12" t="b">
        <v>0</v>
      </c>
      <c r="V12" t="s">
        <v>32</v>
      </c>
      <c r="W12" t="s">
        <v>66</v>
      </c>
      <c r="X12" t="s">
        <v>38</v>
      </c>
      <c r="Y12">
        <v>100</v>
      </c>
      <c r="Z12">
        <v>100</v>
      </c>
      <c r="AA12">
        <v>1000</v>
      </c>
      <c r="AB12" t="s">
        <v>34</v>
      </c>
      <c r="AC12" t="s">
        <v>34</v>
      </c>
      <c r="AD12" t="b">
        <v>1</v>
      </c>
      <c r="AE12" t="b">
        <v>1</v>
      </c>
      <c r="AF12" t="b">
        <v>1</v>
      </c>
      <c r="AG12" t="b">
        <v>0</v>
      </c>
      <c r="AH12">
        <v>0</v>
      </c>
      <c r="AI12">
        <v>0</v>
      </c>
      <c r="AJ12">
        <v>6.28318530717958</v>
      </c>
      <c r="AK12">
        <v>0.01</v>
      </c>
      <c r="AL12" t="s">
        <v>52</v>
      </c>
      <c r="AM12" t="str">
        <f t="shared" si="0"/>
        <v>CL2024-01-18 07-30-47</v>
      </c>
    </row>
    <row r="13" spans="1:40" s="1" customFormat="1" x14ac:dyDescent="0.25">
      <c r="A13" s="1">
        <v>12</v>
      </c>
      <c r="B13" s="1" t="s">
        <v>42</v>
      </c>
      <c r="C13" s="1">
        <v>10</v>
      </c>
      <c r="D13" s="1">
        <v>4</v>
      </c>
      <c r="E13" s="1">
        <v>0</v>
      </c>
      <c r="F13" s="1">
        <v>748</v>
      </c>
      <c r="G13" s="1">
        <v>999</v>
      </c>
      <c r="H13" s="93">
        <v>99</v>
      </c>
      <c r="I13" s="95">
        <v>94</v>
      </c>
      <c r="J13" s="96">
        <v>89.5</v>
      </c>
      <c r="K13" s="228">
        <v>84.4</v>
      </c>
      <c r="L13" s="224">
        <v>95.4</v>
      </c>
      <c r="M13" s="224">
        <v>94.1</v>
      </c>
      <c r="N13" s="224">
        <v>87.36</v>
      </c>
      <c r="O13" s="224">
        <v>87.37</v>
      </c>
      <c r="P13" s="178">
        <v>1000</v>
      </c>
      <c r="Q13" s="1">
        <v>10</v>
      </c>
      <c r="R13" s="1" t="s">
        <v>83</v>
      </c>
      <c r="S13" s="1" t="b">
        <v>1</v>
      </c>
      <c r="T13" s="1">
        <v>8</v>
      </c>
      <c r="U13" s="1" t="b">
        <v>0</v>
      </c>
      <c r="V13" s="1" t="s">
        <v>32</v>
      </c>
      <c r="W13" s="1" t="s">
        <v>66</v>
      </c>
      <c r="X13" s="1" t="s">
        <v>38</v>
      </c>
      <c r="Y13" s="1">
        <v>100</v>
      </c>
      <c r="Z13" s="1">
        <v>100</v>
      </c>
      <c r="AA13" s="1">
        <v>1000</v>
      </c>
      <c r="AB13" s="1" t="s">
        <v>34</v>
      </c>
      <c r="AC13" s="1" t="s">
        <v>34</v>
      </c>
      <c r="AD13" s="1" t="b">
        <v>1</v>
      </c>
      <c r="AE13" s="1" t="b">
        <v>1</v>
      </c>
      <c r="AF13" s="1" t="b">
        <v>1</v>
      </c>
      <c r="AG13" s="1" t="b">
        <v>0</v>
      </c>
      <c r="AH13" s="1">
        <v>0</v>
      </c>
      <c r="AI13" s="1">
        <v>0</v>
      </c>
      <c r="AJ13" s="1">
        <v>6.28318530717958</v>
      </c>
      <c r="AK13" s="1">
        <v>0.01</v>
      </c>
      <c r="AL13" s="1" t="s">
        <v>52</v>
      </c>
      <c r="AM13" s="1" t="str">
        <f t="shared" si="0"/>
        <v>ACL2024-01-18 07-30-47</v>
      </c>
    </row>
    <row r="14" spans="1:40" s="2" customFormat="1" x14ac:dyDescent="0.25">
      <c r="A14" s="2">
        <v>13</v>
      </c>
      <c r="B14" s="2" t="s">
        <v>40</v>
      </c>
      <c r="C14" s="2">
        <v>10</v>
      </c>
      <c r="D14" s="2">
        <v>9</v>
      </c>
      <c r="E14" s="2">
        <v>7</v>
      </c>
      <c r="F14" s="2">
        <v>50</v>
      </c>
      <c r="G14" s="2">
        <v>999</v>
      </c>
      <c r="H14" s="94">
        <v>100</v>
      </c>
      <c r="I14" s="97">
        <v>96</v>
      </c>
      <c r="J14" s="89">
        <v>92.1</v>
      </c>
      <c r="K14" s="229">
        <v>89.8</v>
      </c>
      <c r="L14" s="230">
        <v>96.2</v>
      </c>
      <c r="M14" s="231">
        <v>93.7</v>
      </c>
      <c r="N14" s="232">
        <v>88.88</v>
      </c>
      <c r="O14" s="233">
        <v>87.8</v>
      </c>
      <c r="P14" s="177">
        <v>1000</v>
      </c>
      <c r="Q14" s="2">
        <v>10</v>
      </c>
      <c r="R14" s="2" t="s">
        <v>45</v>
      </c>
      <c r="S14" s="2" t="b">
        <v>1</v>
      </c>
      <c r="T14" s="2">
        <v>8</v>
      </c>
      <c r="U14" s="2" t="b">
        <v>0</v>
      </c>
      <c r="V14" s="2" t="s">
        <v>32</v>
      </c>
      <c r="W14" s="2" t="s">
        <v>66</v>
      </c>
      <c r="X14" s="2" t="s">
        <v>38</v>
      </c>
      <c r="Y14" s="2">
        <v>100</v>
      </c>
      <c r="Z14" s="2">
        <v>100</v>
      </c>
      <c r="AA14" s="2">
        <v>1000</v>
      </c>
      <c r="AB14" s="2" t="s">
        <v>34</v>
      </c>
      <c r="AC14" s="2" t="s">
        <v>34</v>
      </c>
      <c r="AD14" s="2" t="b">
        <v>1</v>
      </c>
      <c r="AE14" s="2" t="b">
        <v>1</v>
      </c>
      <c r="AF14" s="2" t="b">
        <v>1</v>
      </c>
      <c r="AG14" s="2" t="b">
        <v>0</v>
      </c>
      <c r="AH14" s="2">
        <v>0</v>
      </c>
      <c r="AI14" s="2">
        <v>0</v>
      </c>
      <c r="AJ14" s="2">
        <v>6.2831853070000001</v>
      </c>
      <c r="AK14" s="2">
        <v>0.01</v>
      </c>
      <c r="AL14" s="2" t="s">
        <v>51</v>
      </c>
      <c r="AM14" s="2" t="str">
        <f t="shared" si="0"/>
        <v>NCL2024-01-18 09-37-29</v>
      </c>
    </row>
    <row r="15" spans="1:40" x14ac:dyDescent="0.25">
      <c r="A15">
        <v>14</v>
      </c>
      <c r="B15" t="s">
        <v>41</v>
      </c>
      <c r="C15">
        <v>10</v>
      </c>
      <c r="D15">
        <v>7</v>
      </c>
      <c r="E15">
        <v>7</v>
      </c>
      <c r="F15">
        <v>491</v>
      </c>
      <c r="G15">
        <v>999</v>
      </c>
      <c r="H15" s="147">
        <v>96</v>
      </c>
      <c r="I15" s="90">
        <v>95</v>
      </c>
      <c r="J15" s="146">
        <v>90.4</v>
      </c>
      <c r="K15" s="222">
        <v>89.2</v>
      </c>
      <c r="L15" s="234">
        <v>91.8</v>
      </c>
      <c r="M15" s="235">
        <v>91.2</v>
      </c>
      <c r="N15" s="222">
        <v>85.73</v>
      </c>
      <c r="O15" s="222">
        <v>86.18</v>
      </c>
      <c r="P15" s="176">
        <v>1000</v>
      </c>
      <c r="Q15">
        <v>10</v>
      </c>
      <c r="R15" t="s">
        <v>45</v>
      </c>
      <c r="S15" t="b">
        <v>1</v>
      </c>
      <c r="T15">
        <v>8</v>
      </c>
      <c r="U15" t="b">
        <v>0</v>
      </c>
      <c r="V15" t="s">
        <v>32</v>
      </c>
      <c r="W15" t="s">
        <v>66</v>
      </c>
      <c r="X15" t="s">
        <v>38</v>
      </c>
      <c r="Y15">
        <v>100</v>
      </c>
      <c r="Z15">
        <v>100</v>
      </c>
      <c r="AA15">
        <v>1000</v>
      </c>
      <c r="AB15" t="s">
        <v>34</v>
      </c>
      <c r="AC15" t="s">
        <v>34</v>
      </c>
      <c r="AD15" t="b">
        <v>1</v>
      </c>
      <c r="AE15" t="b">
        <v>1</v>
      </c>
      <c r="AF15" t="b">
        <v>1</v>
      </c>
      <c r="AG15" t="b">
        <v>0</v>
      </c>
      <c r="AH15">
        <v>0</v>
      </c>
      <c r="AI15">
        <v>0</v>
      </c>
      <c r="AJ15">
        <v>6.2831853070000001</v>
      </c>
      <c r="AK15">
        <v>0.01</v>
      </c>
      <c r="AL15" t="s">
        <v>51</v>
      </c>
      <c r="AM15" t="str">
        <f t="shared" si="0"/>
        <v>CL2024-01-18 09-37-29</v>
      </c>
    </row>
    <row r="16" spans="1:40" x14ac:dyDescent="0.25">
      <c r="A16">
        <v>15</v>
      </c>
      <c r="B16" t="s">
        <v>42</v>
      </c>
      <c r="C16">
        <v>10</v>
      </c>
      <c r="D16">
        <v>0</v>
      </c>
      <c r="E16">
        <v>0</v>
      </c>
      <c r="F16">
        <v>501</v>
      </c>
      <c r="G16">
        <v>999</v>
      </c>
      <c r="H16" s="91">
        <v>100</v>
      </c>
      <c r="I16" s="91">
        <v>100</v>
      </c>
      <c r="J16" s="168">
        <v>93.3</v>
      </c>
      <c r="K16" s="225">
        <v>94.1</v>
      </c>
      <c r="L16" s="222">
        <v>93.1</v>
      </c>
      <c r="M16" s="222">
        <v>92.9</v>
      </c>
      <c r="N16" s="236">
        <v>84.86</v>
      </c>
      <c r="O16" s="237">
        <v>85.8</v>
      </c>
      <c r="P16" s="176">
        <v>1000</v>
      </c>
      <c r="Q16">
        <v>10</v>
      </c>
      <c r="R16" t="s">
        <v>45</v>
      </c>
      <c r="S16" t="b">
        <v>1</v>
      </c>
      <c r="T16">
        <v>8</v>
      </c>
      <c r="U16" t="b">
        <v>0</v>
      </c>
      <c r="V16" t="s">
        <v>32</v>
      </c>
      <c r="W16" t="s">
        <v>66</v>
      </c>
      <c r="X16" t="s">
        <v>38</v>
      </c>
      <c r="Y16">
        <v>100</v>
      </c>
      <c r="Z16">
        <v>100</v>
      </c>
      <c r="AA16">
        <v>1000</v>
      </c>
      <c r="AB16" t="s">
        <v>34</v>
      </c>
      <c r="AC16" t="s">
        <v>34</v>
      </c>
      <c r="AD16" t="b">
        <v>1</v>
      </c>
      <c r="AE16" t="b">
        <v>1</v>
      </c>
      <c r="AF16" t="b">
        <v>1</v>
      </c>
      <c r="AG16" t="b">
        <v>0</v>
      </c>
      <c r="AH16">
        <v>0</v>
      </c>
      <c r="AI16">
        <v>0</v>
      </c>
      <c r="AJ16">
        <v>6.2831853070000001</v>
      </c>
      <c r="AK16">
        <v>0.01</v>
      </c>
      <c r="AL16" t="s">
        <v>51</v>
      </c>
      <c r="AM16" t="str">
        <f t="shared" si="0"/>
        <v>ACL2024-01-18 09-37-29</v>
      </c>
    </row>
    <row r="17" spans="1:39" x14ac:dyDescent="0.25">
      <c r="A17">
        <v>16</v>
      </c>
      <c r="B17" t="s">
        <v>43</v>
      </c>
      <c r="C17">
        <v>10</v>
      </c>
      <c r="D17">
        <v>4</v>
      </c>
      <c r="E17">
        <v>4</v>
      </c>
      <c r="F17">
        <v>903</v>
      </c>
      <c r="G17">
        <v>999</v>
      </c>
      <c r="H17" s="92">
        <v>95</v>
      </c>
      <c r="I17" s="90">
        <v>95</v>
      </c>
      <c r="J17" s="92">
        <v>88</v>
      </c>
      <c r="K17" s="223">
        <v>88.8</v>
      </c>
      <c r="L17" s="223">
        <v>88.7</v>
      </c>
      <c r="M17" s="223">
        <v>87.8</v>
      </c>
      <c r="N17" s="223">
        <v>81.45</v>
      </c>
      <c r="O17" s="223">
        <v>81.349999999999994</v>
      </c>
      <c r="P17" s="176">
        <v>1000</v>
      </c>
      <c r="Q17">
        <v>10</v>
      </c>
      <c r="R17" t="s">
        <v>45</v>
      </c>
      <c r="S17" t="b">
        <v>1</v>
      </c>
      <c r="T17">
        <v>8</v>
      </c>
      <c r="U17" t="b">
        <v>0</v>
      </c>
      <c r="V17" t="s">
        <v>32</v>
      </c>
      <c r="W17" t="s">
        <v>66</v>
      </c>
      <c r="X17" t="s">
        <v>38</v>
      </c>
      <c r="Y17">
        <v>100</v>
      </c>
      <c r="Z17">
        <v>100</v>
      </c>
      <c r="AA17">
        <v>1000</v>
      </c>
      <c r="AB17" t="s">
        <v>34</v>
      </c>
      <c r="AC17" t="s">
        <v>34</v>
      </c>
      <c r="AD17" t="b">
        <v>1</v>
      </c>
      <c r="AE17" t="b">
        <v>1</v>
      </c>
      <c r="AF17" t="b">
        <v>1</v>
      </c>
      <c r="AG17" t="b">
        <v>0</v>
      </c>
      <c r="AH17">
        <v>0</v>
      </c>
      <c r="AI17">
        <v>0</v>
      </c>
      <c r="AJ17">
        <v>6.2831853070000001</v>
      </c>
      <c r="AK17">
        <v>0.01</v>
      </c>
      <c r="AL17" t="s">
        <v>51</v>
      </c>
      <c r="AM17" t="str">
        <f t="shared" si="0"/>
        <v>SPCL2024-01-18 09-37-29</v>
      </c>
    </row>
    <row r="18" spans="1:39" s="1" customFormat="1" x14ac:dyDescent="0.25">
      <c r="A18">
        <v>17</v>
      </c>
      <c r="B18" s="1" t="s">
        <v>44</v>
      </c>
      <c r="C18" s="1">
        <v>10</v>
      </c>
      <c r="D18" s="1">
        <v>0</v>
      </c>
      <c r="E18" s="1">
        <v>9</v>
      </c>
      <c r="F18" s="1">
        <v>164</v>
      </c>
      <c r="G18" s="1">
        <v>999</v>
      </c>
      <c r="H18" s="93">
        <v>100</v>
      </c>
      <c r="I18" s="95">
        <v>93</v>
      </c>
      <c r="J18" s="93">
        <v>94</v>
      </c>
      <c r="K18" s="238">
        <v>88.9</v>
      </c>
      <c r="L18" s="224">
        <v>100</v>
      </c>
      <c r="M18" s="224">
        <v>94.3</v>
      </c>
      <c r="N18" s="224">
        <v>93.03</v>
      </c>
      <c r="O18" s="224">
        <v>88.5</v>
      </c>
      <c r="P18" s="178">
        <v>1000</v>
      </c>
      <c r="Q18" s="1">
        <v>10</v>
      </c>
      <c r="R18" s="1" t="s">
        <v>45</v>
      </c>
      <c r="S18" s="1" t="b">
        <v>1</v>
      </c>
      <c r="T18" s="1">
        <v>8</v>
      </c>
      <c r="U18" s="1" t="b">
        <v>0</v>
      </c>
      <c r="V18" s="1" t="s">
        <v>32</v>
      </c>
      <c r="W18" s="1" t="s">
        <v>66</v>
      </c>
      <c r="X18" s="1" t="s">
        <v>38</v>
      </c>
      <c r="Y18" s="1">
        <v>100</v>
      </c>
      <c r="Z18" s="1">
        <v>100</v>
      </c>
      <c r="AA18" s="1">
        <v>1000</v>
      </c>
      <c r="AB18" s="1" t="s">
        <v>34</v>
      </c>
      <c r="AC18" s="1" t="s">
        <v>34</v>
      </c>
      <c r="AD18" s="1" t="b">
        <v>1</v>
      </c>
      <c r="AE18" s="1" t="b">
        <v>1</v>
      </c>
      <c r="AF18" s="1" t="b">
        <v>1</v>
      </c>
      <c r="AG18" s="1" t="b">
        <v>0</v>
      </c>
      <c r="AH18" s="1">
        <v>0</v>
      </c>
      <c r="AI18" s="1">
        <v>0</v>
      </c>
      <c r="AJ18" s="1">
        <v>6.2831853070000001</v>
      </c>
      <c r="AK18" s="1">
        <v>0.01</v>
      </c>
      <c r="AL18" s="1" t="s">
        <v>51</v>
      </c>
      <c r="AM18" s="1" t="str">
        <f t="shared" si="0"/>
        <v>SPACL2024-01-18 09-37-29</v>
      </c>
    </row>
    <row r="19" spans="1:39" s="2" customFormat="1" x14ac:dyDescent="0.25">
      <c r="A19" s="2">
        <v>18</v>
      </c>
      <c r="B19" s="2" t="s">
        <v>40</v>
      </c>
      <c r="C19" s="2">
        <v>10</v>
      </c>
      <c r="D19" s="2">
        <v>7</v>
      </c>
      <c r="E19" s="2">
        <v>7</v>
      </c>
      <c r="F19" s="2">
        <v>153</v>
      </c>
      <c r="G19" s="2">
        <v>999</v>
      </c>
      <c r="H19" s="99">
        <v>99</v>
      </c>
      <c r="I19" s="94">
        <v>93</v>
      </c>
      <c r="J19" s="100">
        <v>92.5</v>
      </c>
      <c r="K19" s="227">
        <v>90.5</v>
      </c>
      <c r="L19" s="221">
        <v>91.2</v>
      </c>
      <c r="M19" s="239">
        <v>88.1</v>
      </c>
      <c r="N19" s="221">
        <v>86.08</v>
      </c>
      <c r="O19" s="240">
        <v>85.6</v>
      </c>
      <c r="P19" s="177">
        <v>1000</v>
      </c>
      <c r="Q19" s="2">
        <v>10</v>
      </c>
      <c r="R19" s="2" t="s">
        <v>45</v>
      </c>
      <c r="S19" s="2" t="b">
        <v>1</v>
      </c>
      <c r="T19" s="2">
        <v>8</v>
      </c>
      <c r="U19" s="2" t="b">
        <v>0</v>
      </c>
      <c r="V19" s="2" t="s">
        <v>32</v>
      </c>
      <c r="W19" s="2" t="s">
        <v>66</v>
      </c>
      <c r="X19" s="2" t="s">
        <v>38</v>
      </c>
      <c r="Y19" s="2">
        <v>100</v>
      </c>
      <c r="Z19" s="2">
        <v>100</v>
      </c>
      <c r="AA19" s="2">
        <v>1000</v>
      </c>
      <c r="AB19" s="2" t="s">
        <v>33</v>
      </c>
      <c r="AC19" s="2" t="s">
        <v>33</v>
      </c>
      <c r="AD19" s="2" t="b">
        <v>1</v>
      </c>
      <c r="AE19" s="2" t="b">
        <v>1</v>
      </c>
      <c r="AF19" s="2" t="b">
        <v>1</v>
      </c>
      <c r="AG19" s="2" t="b">
        <v>0</v>
      </c>
      <c r="AH19" s="2">
        <v>0</v>
      </c>
      <c r="AI19" s="2">
        <v>0</v>
      </c>
      <c r="AJ19" s="2">
        <v>6.2831853070000001</v>
      </c>
      <c r="AK19" s="2">
        <v>0.01</v>
      </c>
      <c r="AL19" s="2" t="s">
        <v>50</v>
      </c>
      <c r="AM19" s="2" t="str">
        <f t="shared" si="0"/>
        <v>NCL2024-01-18 11-33-52</v>
      </c>
    </row>
    <row r="20" spans="1:39" x14ac:dyDescent="0.25">
      <c r="A20">
        <v>19</v>
      </c>
      <c r="B20" t="s">
        <v>41</v>
      </c>
      <c r="C20">
        <v>10</v>
      </c>
      <c r="D20">
        <v>0</v>
      </c>
      <c r="E20">
        <v>0</v>
      </c>
      <c r="F20">
        <v>710</v>
      </c>
      <c r="G20">
        <v>999</v>
      </c>
      <c r="H20" s="145">
        <v>93</v>
      </c>
      <c r="I20" s="91">
        <v>93</v>
      </c>
      <c r="J20" s="152">
        <v>88.3</v>
      </c>
      <c r="K20" s="222">
        <v>88.2</v>
      </c>
      <c r="L20" s="241">
        <v>87.9</v>
      </c>
      <c r="M20" s="242">
        <v>87.3</v>
      </c>
      <c r="N20" s="243">
        <v>83.869999999999905</v>
      </c>
      <c r="O20" s="244">
        <v>84.229999999999905</v>
      </c>
      <c r="P20" s="176">
        <v>1000</v>
      </c>
      <c r="Q20">
        <v>10</v>
      </c>
      <c r="R20" t="s">
        <v>45</v>
      </c>
      <c r="S20" t="b">
        <v>1</v>
      </c>
      <c r="T20">
        <v>8</v>
      </c>
      <c r="U20" t="b">
        <v>0</v>
      </c>
      <c r="V20" t="s">
        <v>32</v>
      </c>
      <c r="W20" t="s">
        <v>66</v>
      </c>
      <c r="X20" t="s">
        <v>38</v>
      </c>
      <c r="Y20">
        <v>100</v>
      </c>
      <c r="Z20">
        <v>100</v>
      </c>
      <c r="AA20">
        <v>1000</v>
      </c>
      <c r="AB20" t="s">
        <v>33</v>
      </c>
      <c r="AC20" t="s">
        <v>33</v>
      </c>
      <c r="AD20" t="b">
        <v>1</v>
      </c>
      <c r="AE20" t="b">
        <v>1</v>
      </c>
      <c r="AF20" t="b">
        <v>1</v>
      </c>
      <c r="AG20" t="b">
        <v>0</v>
      </c>
      <c r="AH20">
        <v>0</v>
      </c>
      <c r="AI20">
        <v>0</v>
      </c>
      <c r="AJ20">
        <v>6.2831853070000001</v>
      </c>
      <c r="AK20">
        <v>0.01</v>
      </c>
      <c r="AL20" t="s">
        <v>50</v>
      </c>
      <c r="AM20" t="str">
        <f t="shared" si="0"/>
        <v>CL2024-01-18 11-33-52</v>
      </c>
    </row>
    <row r="21" spans="1:39" x14ac:dyDescent="0.25">
      <c r="A21">
        <v>20</v>
      </c>
      <c r="B21" t="s">
        <v>42</v>
      </c>
      <c r="C21">
        <v>10</v>
      </c>
      <c r="D21">
        <v>0</v>
      </c>
      <c r="E21">
        <v>2</v>
      </c>
      <c r="F21">
        <v>273</v>
      </c>
      <c r="G21">
        <v>999</v>
      </c>
      <c r="H21" s="90">
        <v>98</v>
      </c>
      <c r="I21" s="92">
        <v>85</v>
      </c>
      <c r="J21" s="90">
        <v>91.5</v>
      </c>
      <c r="K21" s="223">
        <v>81.8</v>
      </c>
      <c r="L21" s="245">
        <v>94.7</v>
      </c>
      <c r="M21" s="225">
        <v>89.7</v>
      </c>
      <c r="N21" s="246">
        <v>90</v>
      </c>
      <c r="O21" s="225">
        <v>87.18</v>
      </c>
      <c r="P21" s="176">
        <v>1000</v>
      </c>
      <c r="Q21">
        <v>10</v>
      </c>
      <c r="R21" t="s">
        <v>45</v>
      </c>
      <c r="S21" t="b">
        <v>1</v>
      </c>
      <c r="T21">
        <v>8</v>
      </c>
      <c r="U21" t="b">
        <v>0</v>
      </c>
      <c r="V21" t="s">
        <v>32</v>
      </c>
      <c r="W21" t="s">
        <v>66</v>
      </c>
      <c r="X21" t="s">
        <v>38</v>
      </c>
      <c r="Y21">
        <v>100</v>
      </c>
      <c r="Z21">
        <v>100</v>
      </c>
      <c r="AA21">
        <v>1000</v>
      </c>
      <c r="AB21" t="s">
        <v>33</v>
      </c>
      <c r="AC21" t="s">
        <v>33</v>
      </c>
      <c r="AD21" t="b">
        <v>1</v>
      </c>
      <c r="AE21" t="b">
        <v>1</v>
      </c>
      <c r="AF21" t="b">
        <v>1</v>
      </c>
      <c r="AG21" t="b">
        <v>0</v>
      </c>
      <c r="AH21">
        <v>0</v>
      </c>
      <c r="AI21">
        <v>0</v>
      </c>
      <c r="AJ21">
        <v>6.2831853070000001</v>
      </c>
      <c r="AK21">
        <v>0.01</v>
      </c>
      <c r="AL21" t="s">
        <v>50</v>
      </c>
      <c r="AM21" t="str">
        <f t="shared" si="0"/>
        <v>ACL2024-01-18 11-33-52</v>
      </c>
    </row>
    <row r="22" spans="1:39" x14ac:dyDescent="0.25">
      <c r="A22">
        <v>21</v>
      </c>
      <c r="B22" t="s">
        <v>43</v>
      </c>
      <c r="C22">
        <v>10</v>
      </c>
      <c r="D22">
        <v>2</v>
      </c>
      <c r="E22">
        <v>2</v>
      </c>
      <c r="F22">
        <v>904</v>
      </c>
      <c r="G22">
        <v>999</v>
      </c>
      <c r="H22" s="92">
        <v>92</v>
      </c>
      <c r="I22" s="90">
        <v>92</v>
      </c>
      <c r="J22" s="92">
        <v>85.9</v>
      </c>
      <c r="K22" s="247">
        <v>86.5</v>
      </c>
      <c r="L22" s="223">
        <v>86.2</v>
      </c>
      <c r="M22" s="223">
        <v>84.6</v>
      </c>
      <c r="N22" s="223">
        <v>81.94</v>
      </c>
      <c r="O22" s="223">
        <v>80.94</v>
      </c>
      <c r="P22" s="176">
        <v>1000</v>
      </c>
      <c r="Q22">
        <v>10</v>
      </c>
      <c r="R22" t="s">
        <v>45</v>
      </c>
      <c r="S22" t="b">
        <v>1</v>
      </c>
      <c r="T22">
        <v>8</v>
      </c>
      <c r="U22" t="b">
        <v>0</v>
      </c>
      <c r="V22" t="s">
        <v>32</v>
      </c>
      <c r="W22" t="s">
        <v>66</v>
      </c>
      <c r="X22" t="s">
        <v>38</v>
      </c>
      <c r="Y22">
        <v>100</v>
      </c>
      <c r="Z22">
        <v>100</v>
      </c>
      <c r="AA22">
        <v>1000</v>
      </c>
      <c r="AB22" t="s">
        <v>33</v>
      </c>
      <c r="AC22" t="s">
        <v>33</v>
      </c>
      <c r="AD22" t="b">
        <v>1</v>
      </c>
      <c r="AE22" t="b">
        <v>1</v>
      </c>
      <c r="AF22" t="b">
        <v>1</v>
      </c>
      <c r="AG22" t="b">
        <v>0</v>
      </c>
      <c r="AH22">
        <v>0</v>
      </c>
      <c r="AI22">
        <v>0</v>
      </c>
      <c r="AJ22">
        <v>6.2831853070000001</v>
      </c>
      <c r="AK22">
        <v>0.01</v>
      </c>
      <c r="AL22" t="s">
        <v>50</v>
      </c>
      <c r="AM22" t="str">
        <f t="shared" si="0"/>
        <v>SPCL2024-01-18 11-33-52</v>
      </c>
    </row>
    <row r="23" spans="1:39" s="1" customFormat="1" x14ac:dyDescent="0.25">
      <c r="A23">
        <v>22</v>
      </c>
      <c r="B23" s="1" t="s">
        <v>44</v>
      </c>
      <c r="C23" s="1">
        <v>10</v>
      </c>
      <c r="D23" s="1">
        <v>0</v>
      </c>
      <c r="E23" s="1">
        <v>9</v>
      </c>
      <c r="F23" s="1">
        <v>187</v>
      </c>
      <c r="G23" s="1">
        <v>999</v>
      </c>
      <c r="H23" s="93">
        <v>100</v>
      </c>
      <c r="I23" s="96">
        <v>92</v>
      </c>
      <c r="J23" s="93">
        <v>95.1</v>
      </c>
      <c r="K23" s="248">
        <v>90</v>
      </c>
      <c r="L23" s="224">
        <v>99.2</v>
      </c>
      <c r="M23" s="226">
        <v>87.8</v>
      </c>
      <c r="N23" s="224">
        <v>93.61</v>
      </c>
      <c r="O23" s="226">
        <v>85.199999999999903</v>
      </c>
      <c r="P23" s="178">
        <v>1000</v>
      </c>
      <c r="Q23" s="1">
        <v>10</v>
      </c>
      <c r="R23" s="1" t="s">
        <v>45</v>
      </c>
      <c r="S23" s="1" t="b">
        <v>1</v>
      </c>
      <c r="T23" s="1">
        <v>8</v>
      </c>
      <c r="U23" s="1" t="b">
        <v>0</v>
      </c>
      <c r="V23" s="1" t="s">
        <v>32</v>
      </c>
      <c r="W23" s="1" t="s">
        <v>66</v>
      </c>
      <c r="X23" s="1" t="s">
        <v>38</v>
      </c>
      <c r="Y23" s="1">
        <v>100</v>
      </c>
      <c r="Z23" s="1">
        <v>100</v>
      </c>
      <c r="AA23" s="1">
        <v>1000</v>
      </c>
      <c r="AB23" s="1" t="s">
        <v>33</v>
      </c>
      <c r="AC23" s="1" t="s">
        <v>33</v>
      </c>
      <c r="AD23" s="1" t="b">
        <v>1</v>
      </c>
      <c r="AE23" s="1" t="b">
        <v>1</v>
      </c>
      <c r="AF23" s="1" t="b">
        <v>1</v>
      </c>
      <c r="AG23" s="1" t="b">
        <v>0</v>
      </c>
      <c r="AH23" s="1">
        <v>0</v>
      </c>
      <c r="AI23" s="1">
        <v>0</v>
      </c>
      <c r="AJ23" s="1">
        <v>6.2831853070000001</v>
      </c>
      <c r="AK23" s="1">
        <v>0.01</v>
      </c>
      <c r="AL23" s="1" t="s">
        <v>50</v>
      </c>
      <c r="AM23" s="1" t="str">
        <f t="shared" si="0"/>
        <v>SPACL2024-01-18 11-33-52</v>
      </c>
    </row>
    <row r="24" spans="1:39" s="2" customFormat="1" x14ac:dyDescent="0.25">
      <c r="A24" s="2">
        <v>23</v>
      </c>
      <c r="B24" s="2" t="s">
        <v>40</v>
      </c>
      <c r="C24" s="2">
        <v>10</v>
      </c>
      <c r="D24" s="2">
        <v>6</v>
      </c>
      <c r="E24" s="2">
        <v>2</v>
      </c>
      <c r="F24" s="2">
        <v>107</v>
      </c>
      <c r="G24" s="2">
        <v>499</v>
      </c>
      <c r="H24" s="94">
        <v>100</v>
      </c>
      <c r="I24" s="94">
        <v>97.916666669999998</v>
      </c>
      <c r="J24" s="101">
        <v>91.9</v>
      </c>
      <c r="K24" s="227">
        <v>92.5</v>
      </c>
      <c r="L24" s="249">
        <v>95.416666669999998</v>
      </c>
      <c r="M24" s="227">
        <v>93.333333330000002</v>
      </c>
      <c r="N24" s="250">
        <v>88.01</v>
      </c>
      <c r="O24" s="227">
        <v>87.37</v>
      </c>
      <c r="P24" s="177">
        <v>500</v>
      </c>
      <c r="Q24" s="2">
        <v>10</v>
      </c>
      <c r="R24" s="2" t="s">
        <v>45</v>
      </c>
      <c r="S24" s="2" t="b">
        <v>1</v>
      </c>
      <c r="T24" s="2">
        <v>8</v>
      </c>
      <c r="U24" s="2" t="b">
        <v>0</v>
      </c>
      <c r="V24" s="2" t="s">
        <v>32</v>
      </c>
      <c r="W24" s="2" t="s">
        <v>66</v>
      </c>
      <c r="X24" s="2" t="s">
        <v>38</v>
      </c>
      <c r="Y24" s="2">
        <v>48</v>
      </c>
      <c r="Z24" s="2">
        <v>48</v>
      </c>
      <c r="AA24" s="2">
        <v>1000</v>
      </c>
      <c r="AB24" s="2" t="s">
        <v>34</v>
      </c>
      <c r="AC24" s="2" t="s">
        <v>34</v>
      </c>
      <c r="AD24" s="2" t="b">
        <v>1</v>
      </c>
      <c r="AE24" s="2" t="b">
        <v>1</v>
      </c>
      <c r="AF24" s="2" t="b">
        <v>1</v>
      </c>
      <c r="AG24" s="2" t="b">
        <v>0</v>
      </c>
      <c r="AH24" s="2">
        <v>0</v>
      </c>
      <c r="AI24" s="2">
        <v>0</v>
      </c>
      <c r="AJ24" s="2">
        <v>6.2831853070000001</v>
      </c>
      <c r="AK24" s="2">
        <v>0.01</v>
      </c>
      <c r="AL24" s="2" t="s">
        <v>46</v>
      </c>
      <c r="AM24" s="2" t="str">
        <f t="shared" si="0"/>
        <v>NCL2024-01-18 17-38-31</v>
      </c>
    </row>
    <row r="25" spans="1:39" x14ac:dyDescent="0.25">
      <c r="A25">
        <v>24</v>
      </c>
      <c r="B25" t="s">
        <v>41</v>
      </c>
      <c r="C25">
        <v>10</v>
      </c>
      <c r="D25">
        <v>2</v>
      </c>
      <c r="E25">
        <v>5</v>
      </c>
      <c r="F25">
        <v>360</v>
      </c>
      <c r="G25">
        <v>499</v>
      </c>
      <c r="H25" s="92">
        <v>93.75</v>
      </c>
      <c r="I25" s="92">
        <v>91.666666669999998</v>
      </c>
      <c r="J25" s="92">
        <v>85.5</v>
      </c>
      <c r="K25" s="244">
        <v>87.3</v>
      </c>
      <c r="L25" s="223">
        <v>90.416666669999998</v>
      </c>
      <c r="M25" s="223">
        <v>89.166666669999998</v>
      </c>
      <c r="N25" s="223">
        <v>83.42</v>
      </c>
      <c r="O25" s="223">
        <v>84.03</v>
      </c>
      <c r="P25" s="176">
        <v>500</v>
      </c>
      <c r="Q25">
        <v>10</v>
      </c>
      <c r="R25" t="s">
        <v>45</v>
      </c>
      <c r="S25" t="b">
        <v>1</v>
      </c>
      <c r="T25">
        <v>8</v>
      </c>
      <c r="U25" t="b">
        <v>0</v>
      </c>
      <c r="V25" t="s">
        <v>32</v>
      </c>
      <c r="W25" t="s">
        <v>66</v>
      </c>
      <c r="X25" t="s">
        <v>38</v>
      </c>
      <c r="Y25">
        <v>48</v>
      </c>
      <c r="Z25">
        <v>48</v>
      </c>
      <c r="AA25">
        <v>1000</v>
      </c>
      <c r="AB25" t="s">
        <v>34</v>
      </c>
      <c r="AC25" t="s">
        <v>34</v>
      </c>
      <c r="AD25" t="b">
        <v>1</v>
      </c>
      <c r="AE25" t="b">
        <v>1</v>
      </c>
      <c r="AF25" t="b">
        <v>1</v>
      </c>
      <c r="AG25" t="b">
        <v>0</v>
      </c>
      <c r="AH25">
        <v>0</v>
      </c>
      <c r="AI25">
        <v>0</v>
      </c>
      <c r="AJ25">
        <v>6.2831853070000001</v>
      </c>
      <c r="AK25">
        <v>0.01</v>
      </c>
      <c r="AL25" t="s">
        <v>46</v>
      </c>
      <c r="AM25" t="str">
        <f t="shared" si="0"/>
        <v>CL2024-01-18 17-38-31</v>
      </c>
    </row>
    <row r="26" spans="1:39" x14ac:dyDescent="0.25">
      <c r="A26">
        <v>25</v>
      </c>
      <c r="B26" t="s">
        <v>42</v>
      </c>
      <c r="C26">
        <v>10</v>
      </c>
      <c r="D26">
        <v>0</v>
      </c>
      <c r="E26">
        <v>0</v>
      </c>
      <c r="F26">
        <v>403</v>
      </c>
      <c r="G26">
        <v>499</v>
      </c>
      <c r="H26" s="91">
        <v>100</v>
      </c>
      <c r="I26" s="90">
        <v>95.833333330000002</v>
      </c>
      <c r="J26" s="91">
        <v>93.1</v>
      </c>
      <c r="K26" s="222">
        <v>89.4</v>
      </c>
      <c r="L26" s="222">
        <v>93.958333330000002</v>
      </c>
      <c r="M26" s="222">
        <v>92.083333330000002</v>
      </c>
      <c r="N26" s="251">
        <v>84.89</v>
      </c>
      <c r="O26" s="252">
        <v>85.85</v>
      </c>
      <c r="P26" s="176">
        <v>500</v>
      </c>
      <c r="Q26">
        <v>10</v>
      </c>
      <c r="R26" t="s">
        <v>45</v>
      </c>
      <c r="S26" t="b">
        <v>1</v>
      </c>
      <c r="T26">
        <v>8</v>
      </c>
      <c r="U26" t="b">
        <v>0</v>
      </c>
      <c r="V26" t="s">
        <v>32</v>
      </c>
      <c r="W26" t="s">
        <v>66</v>
      </c>
      <c r="X26" t="s">
        <v>38</v>
      </c>
      <c r="Y26">
        <v>48</v>
      </c>
      <c r="Z26">
        <v>48</v>
      </c>
      <c r="AA26">
        <v>1000</v>
      </c>
      <c r="AB26" t="s">
        <v>34</v>
      </c>
      <c r="AC26" t="s">
        <v>34</v>
      </c>
      <c r="AD26" t="b">
        <v>1</v>
      </c>
      <c r="AE26" t="b">
        <v>1</v>
      </c>
      <c r="AF26" t="b">
        <v>1</v>
      </c>
      <c r="AG26" t="b">
        <v>0</v>
      </c>
      <c r="AH26">
        <v>0</v>
      </c>
      <c r="AI26">
        <v>0</v>
      </c>
      <c r="AJ26">
        <v>6.2831853070000001</v>
      </c>
      <c r="AK26">
        <v>0.01</v>
      </c>
      <c r="AL26" t="s">
        <v>46</v>
      </c>
      <c r="AM26" t="str">
        <f t="shared" si="0"/>
        <v>ACL2024-01-18 17-38-31</v>
      </c>
    </row>
    <row r="27" spans="1:39" x14ac:dyDescent="0.25">
      <c r="A27">
        <v>26</v>
      </c>
      <c r="B27" t="s">
        <v>43</v>
      </c>
      <c r="C27">
        <v>10</v>
      </c>
      <c r="D27">
        <v>7</v>
      </c>
      <c r="E27">
        <v>7</v>
      </c>
      <c r="F27">
        <v>483</v>
      </c>
      <c r="G27">
        <v>499</v>
      </c>
      <c r="H27" s="103">
        <v>95.833333330000002</v>
      </c>
      <c r="I27" s="90">
        <v>95.833333330000002</v>
      </c>
      <c r="J27" s="164">
        <v>88.6</v>
      </c>
      <c r="K27" s="253">
        <v>91.1</v>
      </c>
      <c r="L27" s="254">
        <v>91.458333330000002</v>
      </c>
      <c r="M27" s="255">
        <v>91.041666669999998</v>
      </c>
      <c r="N27" s="222">
        <v>85.07</v>
      </c>
      <c r="O27" s="222">
        <v>86.43</v>
      </c>
      <c r="P27" s="176">
        <v>500</v>
      </c>
      <c r="Q27">
        <v>10</v>
      </c>
      <c r="R27" t="s">
        <v>45</v>
      </c>
      <c r="S27" t="b">
        <v>1</v>
      </c>
      <c r="T27">
        <v>8</v>
      </c>
      <c r="U27" t="b">
        <v>0</v>
      </c>
      <c r="V27" t="s">
        <v>32</v>
      </c>
      <c r="W27" t="s">
        <v>66</v>
      </c>
      <c r="X27" t="s">
        <v>38</v>
      </c>
      <c r="Y27">
        <v>48</v>
      </c>
      <c r="Z27">
        <v>48</v>
      </c>
      <c r="AA27">
        <v>1000</v>
      </c>
      <c r="AB27" t="s">
        <v>34</v>
      </c>
      <c r="AC27" t="s">
        <v>34</v>
      </c>
      <c r="AD27" t="b">
        <v>1</v>
      </c>
      <c r="AE27" t="b">
        <v>1</v>
      </c>
      <c r="AF27" t="b">
        <v>1</v>
      </c>
      <c r="AG27" t="b">
        <v>0</v>
      </c>
      <c r="AH27">
        <v>0</v>
      </c>
      <c r="AI27">
        <v>0</v>
      </c>
      <c r="AJ27">
        <v>6.2831853070000001</v>
      </c>
      <c r="AK27">
        <v>0.01</v>
      </c>
      <c r="AL27" t="s">
        <v>46</v>
      </c>
      <c r="AM27" t="str">
        <f t="shared" si="0"/>
        <v>SPCL2024-01-18 17-38-31</v>
      </c>
    </row>
    <row r="28" spans="1:39" s="1" customFormat="1" x14ac:dyDescent="0.25">
      <c r="A28">
        <v>27</v>
      </c>
      <c r="B28" s="1" t="s">
        <v>44</v>
      </c>
      <c r="C28" s="1">
        <v>10</v>
      </c>
      <c r="D28" s="1">
        <v>0</v>
      </c>
      <c r="E28" s="1">
        <v>6</v>
      </c>
      <c r="F28" s="1">
        <v>51</v>
      </c>
      <c r="G28" s="1">
        <v>499</v>
      </c>
      <c r="H28" s="93">
        <v>100</v>
      </c>
      <c r="I28" s="95">
        <v>91.666666669999998</v>
      </c>
      <c r="J28" s="96">
        <v>91.4</v>
      </c>
      <c r="K28" s="228">
        <v>80.099999999999994</v>
      </c>
      <c r="L28" s="224">
        <v>100</v>
      </c>
      <c r="M28" s="256">
        <v>92.5</v>
      </c>
      <c r="N28" s="224">
        <v>90.34</v>
      </c>
      <c r="O28" s="257">
        <v>87.23</v>
      </c>
      <c r="P28" s="178">
        <v>500</v>
      </c>
      <c r="Q28" s="1">
        <v>10</v>
      </c>
      <c r="R28" s="1" t="s">
        <v>45</v>
      </c>
      <c r="S28" s="1" t="b">
        <v>1</v>
      </c>
      <c r="T28" s="1">
        <v>8</v>
      </c>
      <c r="U28" s="1" t="b">
        <v>0</v>
      </c>
      <c r="V28" s="1" t="s">
        <v>32</v>
      </c>
      <c r="W28" s="1" t="s">
        <v>66</v>
      </c>
      <c r="X28" s="1" t="s">
        <v>38</v>
      </c>
      <c r="Y28" s="1">
        <v>48</v>
      </c>
      <c r="Z28" s="1">
        <v>48</v>
      </c>
      <c r="AA28" s="1">
        <v>1000</v>
      </c>
      <c r="AB28" s="1" t="s">
        <v>34</v>
      </c>
      <c r="AC28" s="1" t="s">
        <v>34</v>
      </c>
      <c r="AD28" s="1" t="b">
        <v>1</v>
      </c>
      <c r="AE28" s="1" t="b">
        <v>1</v>
      </c>
      <c r="AF28" s="1" t="b">
        <v>1</v>
      </c>
      <c r="AG28" s="1" t="b">
        <v>0</v>
      </c>
      <c r="AH28" s="1">
        <v>0</v>
      </c>
      <c r="AI28" s="1">
        <v>0</v>
      </c>
      <c r="AJ28" s="1">
        <v>6.2831853070000001</v>
      </c>
      <c r="AK28" s="1">
        <v>0.01</v>
      </c>
      <c r="AL28" s="1" t="s">
        <v>46</v>
      </c>
      <c r="AM28" s="1" t="str">
        <f t="shared" si="0"/>
        <v>SPACL2024-01-18 17-38-31</v>
      </c>
    </row>
    <row r="29" spans="1:39" s="2" customFormat="1" x14ac:dyDescent="0.25">
      <c r="A29" s="2">
        <v>28</v>
      </c>
      <c r="B29" s="2" t="s">
        <v>40</v>
      </c>
      <c r="C29" s="2">
        <v>10</v>
      </c>
      <c r="D29" s="2">
        <v>1</v>
      </c>
      <c r="E29" s="2">
        <v>3</v>
      </c>
      <c r="F29" s="2">
        <v>78</v>
      </c>
      <c r="G29" s="2">
        <v>499</v>
      </c>
      <c r="H29" s="94">
        <v>100</v>
      </c>
      <c r="I29" s="89">
        <v>97.916666669999998</v>
      </c>
      <c r="J29" s="104">
        <v>88.4</v>
      </c>
      <c r="K29" s="258">
        <v>84.6</v>
      </c>
      <c r="L29" s="259">
        <v>97.916666669999998</v>
      </c>
      <c r="M29" s="260">
        <v>93.541666669999998</v>
      </c>
      <c r="N29" s="221">
        <v>83.4</v>
      </c>
      <c r="O29" s="261">
        <v>80.48</v>
      </c>
      <c r="P29" s="177">
        <v>500</v>
      </c>
      <c r="Q29" s="2">
        <v>10</v>
      </c>
      <c r="R29" s="2" t="s">
        <v>45</v>
      </c>
      <c r="S29" s="2" t="b">
        <v>1</v>
      </c>
      <c r="T29" s="2">
        <v>8</v>
      </c>
      <c r="U29" s="2" t="b">
        <v>0</v>
      </c>
      <c r="V29" s="2" t="s">
        <v>32</v>
      </c>
      <c r="W29" s="2" t="s">
        <v>66</v>
      </c>
      <c r="X29" s="2" t="s">
        <v>38</v>
      </c>
      <c r="Y29" s="2">
        <v>48</v>
      </c>
      <c r="Z29" s="2">
        <v>48</v>
      </c>
      <c r="AA29" s="2">
        <v>1000</v>
      </c>
      <c r="AB29" s="2" t="s">
        <v>34</v>
      </c>
      <c r="AC29" s="2" t="s">
        <v>34</v>
      </c>
      <c r="AD29" s="2" t="b">
        <v>0</v>
      </c>
      <c r="AE29" s="2" t="b">
        <v>0</v>
      </c>
      <c r="AF29" s="2" t="b">
        <v>1</v>
      </c>
      <c r="AG29" s="2" t="b">
        <v>0</v>
      </c>
      <c r="AH29" s="2">
        <v>0</v>
      </c>
      <c r="AI29" s="2">
        <v>0</v>
      </c>
      <c r="AJ29" s="2">
        <v>6.2831853070000001</v>
      </c>
      <c r="AK29" s="2">
        <v>0.01</v>
      </c>
      <c r="AL29" s="2" t="s">
        <v>47</v>
      </c>
      <c r="AM29" s="2" t="str">
        <f t="shared" si="0"/>
        <v>NCL2024-01-18 18-22-18</v>
      </c>
    </row>
    <row r="30" spans="1:39" x14ac:dyDescent="0.25">
      <c r="A30">
        <v>29</v>
      </c>
      <c r="B30" t="s">
        <v>41</v>
      </c>
      <c r="C30">
        <v>10</v>
      </c>
      <c r="D30">
        <v>1</v>
      </c>
      <c r="E30">
        <v>1</v>
      </c>
      <c r="F30">
        <v>470</v>
      </c>
      <c r="G30">
        <v>499</v>
      </c>
      <c r="H30" s="91">
        <v>100</v>
      </c>
      <c r="I30" s="91">
        <v>100</v>
      </c>
      <c r="J30" s="90">
        <v>88.5</v>
      </c>
      <c r="K30" s="225">
        <v>88.4</v>
      </c>
      <c r="L30" s="223">
        <v>89.166666669999998</v>
      </c>
      <c r="M30" s="262">
        <v>87.5</v>
      </c>
      <c r="N30" s="223">
        <v>77.16</v>
      </c>
      <c r="O30" s="243">
        <v>77.81</v>
      </c>
      <c r="P30" s="176">
        <v>500</v>
      </c>
      <c r="Q30">
        <v>10</v>
      </c>
      <c r="R30" t="s">
        <v>45</v>
      </c>
      <c r="S30" t="b">
        <v>1</v>
      </c>
      <c r="T30">
        <v>8</v>
      </c>
      <c r="U30" t="b">
        <v>0</v>
      </c>
      <c r="V30" t="s">
        <v>32</v>
      </c>
      <c r="W30" t="s">
        <v>66</v>
      </c>
      <c r="X30" t="s">
        <v>38</v>
      </c>
      <c r="Y30">
        <v>48</v>
      </c>
      <c r="Z30">
        <v>48</v>
      </c>
      <c r="AA30">
        <v>1000</v>
      </c>
      <c r="AB30" t="s">
        <v>34</v>
      </c>
      <c r="AC30" t="s">
        <v>34</v>
      </c>
      <c r="AD30" t="b">
        <v>0</v>
      </c>
      <c r="AE30" t="b">
        <v>0</v>
      </c>
      <c r="AF30" t="b">
        <v>1</v>
      </c>
      <c r="AG30" t="b">
        <v>0</v>
      </c>
      <c r="AH30">
        <v>0</v>
      </c>
      <c r="AI30">
        <v>0</v>
      </c>
      <c r="AJ30">
        <v>6.2831853070000001</v>
      </c>
      <c r="AK30">
        <v>0.01</v>
      </c>
      <c r="AL30" t="s">
        <v>47</v>
      </c>
      <c r="AM30" t="str">
        <f t="shared" si="0"/>
        <v>CL2024-01-18 18-22-18</v>
      </c>
    </row>
    <row r="31" spans="1:39" x14ac:dyDescent="0.25">
      <c r="A31">
        <v>30</v>
      </c>
      <c r="B31" t="s">
        <v>42</v>
      </c>
      <c r="C31">
        <v>10</v>
      </c>
      <c r="D31">
        <v>1</v>
      </c>
      <c r="E31">
        <v>4</v>
      </c>
      <c r="F31">
        <v>305</v>
      </c>
      <c r="G31">
        <v>499</v>
      </c>
      <c r="H31" s="91">
        <v>100</v>
      </c>
      <c r="I31" s="151">
        <v>93.75</v>
      </c>
      <c r="J31" s="136">
        <v>90.6</v>
      </c>
      <c r="K31" s="222">
        <v>85.2</v>
      </c>
      <c r="L31" s="222">
        <v>97.291666669999998</v>
      </c>
      <c r="M31" s="225">
        <v>93.958333330000002</v>
      </c>
      <c r="N31" s="263">
        <v>86.21</v>
      </c>
      <c r="O31" s="225">
        <v>83.02</v>
      </c>
      <c r="P31" s="176">
        <v>500</v>
      </c>
      <c r="Q31">
        <v>10</v>
      </c>
      <c r="R31" t="s">
        <v>45</v>
      </c>
      <c r="S31" t="b">
        <v>1</v>
      </c>
      <c r="T31">
        <v>8</v>
      </c>
      <c r="U31" t="b">
        <v>0</v>
      </c>
      <c r="V31" t="s">
        <v>32</v>
      </c>
      <c r="W31" t="s">
        <v>66</v>
      </c>
      <c r="X31" t="s">
        <v>38</v>
      </c>
      <c r="Y31">
        <v>48</v>
      </c>
      <c r="Z31">
        <v>48</v>
      </c>
      <c r="AA31">
        <v>1000</v>
      </c>
      <c r="AB31" t="s">
        <v>34</v>
      </c>
      <c r="AC31" t="s">
        <v>34</v>
      </c>
      <c r="AD31" t="b">
        <v>0</v>
      </c>
      <c r="AE31" t="b">
        <v>0</v>
      </c>
      <c r="AF31" t="b">
        <v>1</v>
      </c>
      <c r="AG31" t="b">
        <v>0</v>
      </c>
      <c r="AH31">
        <v>0</v>
      </c>
      <c r="AI31">
        <v>0</v>
      </c>
      <c r="AJ31">
        <v>6.2831853070000001</v>
      </c>
      <c r="AK31">
        <v>0.01</v>
      </c>
      <c r="AL31" t="s">
        <v>47</v>
      </c>
      <c r="AM31" t="str">
        <f t="shared" si="0"/>
        <v>ACL2024-01-18 18-22-18</v>
      </c>
    </row>
    <row r="32" spans="1:39" x14ac:dyDescent="0.25">
      <c r="A32">
        <v>31</v>
      </c>
      <c r="B32" t="s">
        <v>43</v>
      </c>
      <c r="C32">
        <v>10</v>
      </c>
      <c r="D32">
        <v>1</v>
      </c>
      <c r="E32">
        <v>1</v>
      </c>
      <c r="F32">
        <v>355</v>
      </c>
      <c r="G32">
        <v>499</v>
      </c>
      <c r="H32" s="91">
        <v>100</v>
      </c>
      <c r="I32" s="91">
        <v>100</v>
      </c>
      <c r="J32" s="92">
        <v>87.5</v>
      </c>
      <c r="K32" s="264">
        <v>88</v>
      </c>
      <c r="L32" s="265">
        <v>92.291666669999998</v>
      </c>
      <c r="M32" s="222">
        <v>91.875</v>
      </c>
      <c r="N32" s="266">
        <v>78.98</v>
      </c>
      <c r="O32" s="222">
        <v>80.349999999999994</v>
      </c>
      <c r="P32" s="176">
        <v>500</v>
      </c>
      <c r="Q32">
        <v>10</v>
      </c>
      <c r="R32" t="s">
        <v>45</v>
      </c>
      <c r="S32" t="b">
        <v>1</v>
      </c>
      <c r="T32">
        <v>8</v>
      </c>
      <c r="U32" t="b">
        <v>0</v>
      </c>
      <c r="V32" t="s">
        <v>32</v>
      </c>
      <c r="W32" t="s">
        <v>66</v>
      </c>
      <c r="X32" t="s">
        <v>38</v>
      </c>
      <c r="Y32">
        <v>48</v>
      </c>
      <c r="Z32">
        <v>48</v>
      </c>
      <c r="AA32">
        <v>1000</v>
      </c>
      <c r="AB32" t="s">
        <v>34</v>
      </c>
      <c r="AC32" t="s">
        <v>34</v>
      </c>
      <c r="AD32" t="b">
        <v>0</v>
      </c>
      <c r="AE32" t="b">
        <v>0</v>
      </c>
      <c r="AF32" t="b">
        <v>1</v>
      </c>
      <c r="AG32" t="b">
        <v>0</v>
      </c>
      <c r="AH32">
        <v>0</v>
      </c>
      <c r="AI32">
        <v>0</v>
      </c>
      <c r="AJ32">
        <v>6.2831853070000001</v>
      </c>
      <c r="AK32">
        <v>0.01</v>
      </c>
      <c r="AL32" t="s">
        <v>47</v>
      </c>
      <c r="AM32" t="str">
        <f t="shared" si="0"/>
        <v>SPCL2024-01-18 18-22-18</v>
      </c>
    </row>
    <row r="33" spans="1:39" s="1" customFormat="1" x14ac:dyDescent="0.25">
      <c r="A33">
        <v>32</v>
      </c>
      <c r="B33" s="1" t="s">
        <v>44</v>
      </c>
      <c r="C33" s="1">
        <v>10</v>
      </c>
      <c r="D33" s="1">
        <v>0</v>
      </c>
      <c r="E33" s="1">
        <v>9</v>
      </c>
      <c r="F33" s="1">
        <v>58</v>
      </c>
      <c r="G33" s="1">
        <v>499</v>
      </c>
      <c r="H33" s="93">
        <v>100</v>
      </c>
      <c r="I33" s="95">
        <v>75</v>
      </c>
      <c r="J33" s="93">
        <v>91.4</v>
      </c>
      <c r="K33" s="228">
        <v>71</v>
      </c>
      <c r="L33" s="224">
        <v>100</v>
      </c>
      <c r="M33" s="228">
        <v>86.041666669999998</v>
      </c>
      <c r="N33" s="224">
        <v>89.24</v>
      </c>
      <c r="O33" s="228">
        <v>75.59</v>
      </c>
      <c r="P33" s="178">
        <v>500</v>
      </c>
      <c r="Q33" s="1">
        <v>10</v>
      </c>
      <c r="R33" s="1" t="s">
        <v>45</v>
      </c>
      <c r="S33" s="1" t="b">
        <v>1</v>
      </c>
      <c r="T33" s="1">
        <v>8</v>
      </c>
      <c r="U33" s="1" t="b">
        <v>0</v>
      </c>
      <c r="V33" s="1" t="s">
        <v>32</v>
      </c>
      <c r="W33" s="1" t="s">
        <v>66</v>
      </c>
      <c r="X33" s="1" t="s">
        <v>38</v>
      </c>
      <c r="Y33" s="1">
        <v>48</v>
      </c>
      <c r="Z33" s="1">
        <v>48</v>
      </c>
      <c r="AA33" s="1">
        <v>1000</v>
      </c>
      <c r="AB33" s="1" t="s">
        <v>34</v>
      </c>
      <c r="AC33" s="1" t="s">
        <v>34</v>
      </c>
      <c r="AD33" s="1" t="b">
        <v>0</v>
      </c>
      <c r="AE33" s="1" t="b">
        <v>0</v>
      </c>
      <c r="AF33" s="1" t="b">
        <v>1</v>
      </c>
      <c r="AG33" s="1" t="b">
        <v>0</v>
      </c>
      <c r="AH33" s="1">
        <v>0</v>
      </c>
      <c r="AI33" s="1">
        <v>0</v>
      </c>
      <c r="AJ33" s="1">
        <v>6.2831853070000001</v>
      </c>
      <c r="AK33" s="1">
        <v>0.01</v>
      </c>
      <c r="AL33" s="1" t="s">
        <v>47</v>
      </c>
      <c r="AM33" s="1" t="str">
        <f t="shared" si="0"/>
        <v>SPACL2024-01-18 18-22-18</v>
      </c>
    </row>
    <row r="34" spans="1:39" s="2" customFormat="1" x14ac:dyDescent="0.25">
      <c r="A34" s="2">
        <v>33</v>
      </c>
      <c r="B34" s="2" t="s">
        <v>40</v>
      </c>
      <c r="C34" s="2">
        <v>10</v>
      </c>
      <c r="D34" s="2">
        <v>1</v>
      </c>
      <c r="E34" s="2">
        <v>1</v>
      </c>
      <c r="F34" s="2">
        <v>174</v>
      </c>
      <c r="G34" s="2">
        <v>499</v>
      </c>
      <c r="H34" s="94">
        <v>100</v>
      </c>
      <c r="I34" s="88">
        <v>97.916666669999998</v>
      </c>
      <c r="J34" s="94">
        <v>90.6</v>
      </c>
      <c r="K34" s="267">
        <v>89.2</v>
      </c>
      <c r="L34" s="268">
        <v>97.916666669999998</v>
      </c>
      <c r="M34" s="221">
        <v>96.041666669999998</v>
      </c>
      <c r="N34" s="269">
        <v>86.65</v>
      </c>
      <c r="O34" s="270">
        <v>88.42</v>
      </c>
      <c r="P34" s="177">
        <v>500</v>
      </c>
      <c r="Q34" s="2">
        <v>10</v>
      </c>
      <c r="R34" s="2" t="s">
        <v>45</v>
      </c>
      <c r="S34" s="2" t="b">
        <v>1</v>
      </c>
      <c r="T34" s="2">
        <v>8</v>
      </c>
      <c r="U34" s="2" t="b">
        <v>0</v>
      </c>
      <c r="V34" s="2" t="s">
        <v>32</v>
      </c>
      <c r="W34" s="2" t="s">
        <v>66</v>
      </c>
      <c r="X34" s="2" t="s">
        <v>38</v>
      </c>
      <c r="Y34" s="2">
        <v>48</v>
      </c>
      <c r="Z34" s="2">
        <v>48</v>
      </c>
      <c r="AA34" s="2">
        <v>1000</v>
      </c>
      <c r="AB34" s="2" t="s">
        <v>33</v>
      </c>
      <c r="AC34" s="2" t="s">
        <v>33</v>
      </c>
      <c r="AD34" s="2" t="b">
        <v>1</v>
      </c>
      <c r="AE34" s="2" t="b">
        <v>1</v>
      </c>
      <c r="AF34" s="2" t="b">
        <v>1</v>
      </c>
      <c r="AG34" s="2" t="b">
        <v>0</v>
      </c>
      <c r="AH34" s="2">
        <v>0</v>
      </c>
      <c r="AI34" s="2">
        <v>0</v>
      </c>
      <c r="AJ34" s="2">
        <v>6.2831853070000001</v>
      </c>
      <c r="AK34" s="2">
        <v>0.01</v>
      </c>
      <c r="AL34" s="2" t="s">
        <v>48</v>
      </c>
      <c r="AM34" s="2" t="str">
        <f t="shared" si="0"/>
        <v>NCL2024-01-18 20-01-23</v>
      </c>
    </row>
    <row r="35" spans="1:39" x14ac:dyDescent="0.25">
      <c r="A35">
        <v>34</v>
      </c>
      <c r="B35" t="s">
        <v>41</v>
      </c>
      <c r="C35">
        <v>10</v>
      </c>
      <c r="D35">
        <v>4</v>
      </c>
      <c r="E35">
        <v>4</v>
      </c>
      <c r="F35">
        <v>408</v>
      </c>
      <c r="G35">
        <v>499</v>
      </c>
      <c r="H35" s="91">
        <v>100</v>
      </c>
      <c r="I35" s="91">
        <v>100</v>
      </c>
      <c r="J35" s="142">
        <v>89.3</v>
      </c>
      <c r="K35" s="225">
        <v>91.6</v>
      </c>
      <c r="L35" s="223">
        <v>94.583333330000002</v>
      </c>
      <c r="M35" s="271">
        <v>93.125</v>
      </c>
      <c r="N35" s="223">
        <v>83.59</v>
      </c>
      <c r="O35" s="223">
        <v>84.78</v>
      </c>
      <c r="P35" s="176">
        <v>500</v>
      </c>
      <c r="Q35">
        <v>10</v>
      </c>
      <c r="R35" t="s">
        <v>45</v>
      </c>
      <c r="S35" t="b">
        <v>1</v>
      </c>
      <c r="T35">
        <v>8</v>
      </c>
      <c r="U35" t="b">
        <v>0</v>
      </c>
      <c r="V35" t="s">
        <v>32</v>
      </c>
      <c r="W35" t="s">
        <v>66</v>
      </c>
      <c r="X35" t="s">
        <v>38</v>
      </c>
      <c r="Y35">
        <v>48</v>
      </c>
      <c r="Z35">
        <v>48</v>
      </c>
      <c r="AA35">
        <v>1000</v>
      </c>
      <c r="AB35" t="s">
        <v>33</v>
      </c>
      <c r="AC35" t="s">
        <v>33</v>
      </c>
      <c r="AD35" t="b">
        <v>1</v>
      </c>
      <c r="AE35" t="b">
        <v>1</v>
      </c>
      <c r="AF35" t="b">
        <v>1</v>
      </c>
      <c r="AG35" t="b">
        <v>0</v>
      </c>
      <c r="AH35">
        <v>0</v>
      </c>
      <c r="AI35">
        <v>0</v>
      </c>
      <c r="AJ35">
        <v>6.2831853070000001</v>
      </c>
      <c r="AK35">
        <v>0.01</v>
      </c>
      <c r="AL35" t="s">
        <v>48</v>
      </c>
      <c r="AM35" t="str">
        <f t="shared" si="0"/>
        <v>CL2024-01-18 20-01-23</v>
      </c>
    </row>
    <row r="36" spans="1:39" x14ac:dyDescent="0.25">
      <c r="A36">
        <v>35</v>
      </c>
      <c r="B36" t="s">
        <v>42</v>
      </c>
      <c r="C36">
        <v>10</v>
      </c>
      <c r="D36">
        <v>5</v>
      </c>
      <c r="E36">
        <v>9</v>
      </c>
      <c r="F36">
        <v>353</v>
      </c>
      <c r="G36">
        <v>499</v>
      </c>
      <c r="H36" s="91">
        <v>100</v>
      </c>
      <c r="I36" s="92">
        <v>97.916666669999998</v>
      </c>
      <c r="J36" s="90">
        <v>89</v>
      </c>
      <c r="K36" s="222">
        <v>90.5</v>
      </c>
      <c r="L36" s="272">
        <v>96.041666669999998</v>
      </c>
      <c r="M36" s="223">
        <v>92.916666669999998</v>
      </c>
      <c r="N36" s="222">
        <v>85.68</v>
      </c>
      <c r="O36" s="273">
        <v>86.3</v>
      </c>
      <c r="P36" s="176">
        <v>500</v>
      </c>
      <c r="Q36">
        <v>10</v>
      </c>
      <c r="R36" t="s">
        <v>45</v>
      </c>
      <c r="S36" t="b">
        <v>1</v>
      </c>
      <c r="T36">
        <v>8</v>
      </c>
      <c r="U36" t="b">
        <v>0</v>
      </c>
      <c r="V36" t="s">
        <v>32</v>
      </c>
      <c r="W36" t="s">
        <v>66</v>
      </c>
      <c r="X36" t="s">
        <v>38</v>
      </c>
      <c r="Y36">
        <v>48</v>
      </c>
      <c r="Z36">
        <v>48</v>
      </c>
      <c r="AA36">
        <v>1000</v>
      </c>
      <c r="AB36" t="s">
        <v>33</v>
      </c>
      <c r="AC36" t="s">
        <v>33</v>
      </c>
      <c r="AD36" t="b">
        <v>1</v>
      </c>
      <c r="AE36" t="b">
        <v>1</v>
      </c>
      <c r="AF36" t="b">
        <v>1</v>
      </c>
      <c r="AG36" t="b">
        <v>0</v>
      </c>
      <c r="AH36">
        <v>0</v>
      </c>
      <c r="AI36">
        <v>0</v>
      </c>
      <c r="AJ36">
        <v>6.2831853070000001</v>
      </c>
      <c r="AK36">
        <v>0.01</v>
      </c>
      <c r="AL36" t="s">
        <v>48</v>
      </c>
      <c r="AM36" t="str">
        <f t="shared" si="0"/>
        <v>ACL2024-01-18 20-01-23</v>
      </c>
    </row>
    <row r="37" spans="1:39" x14ac:dyDescent="0.25">
      <c r="A37">
        <v>36</v>
      </c>
      <c r="B37" t="s">
        <v>43</v>
      </c>
      <c r="C37">
        <v>10</v>
      </c>
      <c r="D37">
        <v>1</v>
      </c>
      <c r="E37">
        <v>1</v>
      </c>
      <c r="F37">
        <v>471</v>
      </c>
      <c r="G37">
        <v>499</v>
      </c>
      <c r="H37" s="92">
        <v>97.916666669999998</v>
      </c>
      <c r="I37" s="92">
        <v>97.916666669999998</v>
      </c>
      <c r="J37" s="92">
        <v>86.3</v>
      </c>
      <c r="K37" s="223">
        <v>87.5</v>
      </c>
      <c r="L37" s="222">
        <v>96.458333330000002</v>
      </c>
      <c r="M37" s="222">
        <v>96.041666669999998</v>
      </c>
      <c r="N37" s="273">
        <v>84.85</v>
      </c>
      <c r="O37" s="222">
        <v>87.3</v>
      </c>
      <c r="P37" s="176">
        <v>500</v>
      </c>
      <c r="Q37">
        <v>10</v>
      </c>
      <c r="R37" t="s">
        <v>45</v>
      </c>
      <c r="S37" t="b">
        <v>1</v>
      </c>
      <c r="T37">
        <v>8</v>
      </c>
      <c r="U37" t="b">
        <v>0</v>
      </c>
      <c r="V37" t="s">
        <v>32</v>
      </c>
      <c r="W37" t="s">
        <v>66</v>
      </c>
      <c r="X37" t="s">
        <v>38</v>
      </c>
      <c r="Y37">
        <v>48</v>
      </c>
      <c r="Z37">
        <v>48</v>
      </c>
      <c r="AA37">
        <v>1000</v>
      </c>
      <c r="AB37" t="s">
        <v>33</v>
      </c>
      <c r="AC37" t="s">
        <v>33</v>
      </c>
      <c r="AD37" t="b">
        <v>1</v>
      </c>
      <c r="AE37" t="b">
        <v>1</v>
      </c>
      <c r="AF37" t="b">
        <v>1</v>
      </c>
      <c r="AG37" t="b">
        <v>0</v>
      </c>
      <c r="AH37">
        <v>0</v>
      </c>
      <c r="AI37">
        <v>0</v>
      </c>
      <c r="AJ37">
        <v>6.2831853070000001</v>
      </c>
      <c r="AK37">
        <v>0.01</v>
      </c>
      <c r="AL37" t="s">
        <v>48</v>
      </c>
      <c r="AM37" t="str">
        <f t="shared" si="0"/>
        <v>SPCL2024-01-18 20-01-23</v>
      </c>
    </row>
    <row r="38" spans="1:39" s="1" customFormat="1" x14ac:dyDescent="0.25">
      <c r="A38">
        <v>37</v>
      </c>
      <c r="B38" s="1" t="s">
        <v>44</v>
      </c>
      <c r="C38" s="1">
        <v>10</v>
      </c>
      <c r="D38" s="1">
        <v>0</v>
      </c>
      <c r="E38" s="1">
        <v>3</v>
      </c>
      <c r="F38" s="1">
        <v>20</v>
      </c>
      <c r="G38" s="1">
        <v>499</v>
      </c>
      <c r="H38" s="93">
        <v>100</v>
      </c>
      <c r="I38" s="95">
        <v>97.916666669999998</v>
      </c>
      <c r="J38" s="106">
        <v>88.9</v>
      </c>
      <c r="K38" s="274">
        <v>90.7</v>
      </c>
      <c r="L38" s="224">
        <v>100</v>
      </c>
      <c r="M38" s="224">
        <v>97.708333330000002</v>
      </c>
      <c r="N38" s="224">
        <v>87.88</v>
      </c>
      <c r="O38" s="224">
        <v>89.15</v>
      </c>
      <c r="P38" s="178">
        <v>500</v>
      </c>
      <c r="Q38" s="1">
        <v>10</v>
      </c>
      <c r="R38" s="1" t="s">
        <v>45</v>
      </c>
      <c r="S38" s="1" t="b">
        <v>1</v>
      </c>
      <c r="T38" s="1">
        <v>8</v>
      </c>
      <c r="U38" s="1" t="b">
        <v>0</v>
      </c>
      <c r="V38" s="1" t="s">
        <v>32</v>
      </c>
      <c r="W38" s="1" t="s">
        <v>66</v>
      </c>
      <c r="X38" s="1" t="s">
        <v>38</v>
      </c>
      <c r="Y38" s="1">
        <v>48</v>
      </c>
      <c r="Z38" s="1">
        <v>48</v>
      </c>
      <c r="AA38" s="1">
        <v>1000</v>
      </c>
      <c r="AB38" s="1" t="s">
        <v>33</v>
      </c>
      <c r="AC38" s="1" t="s">
        <v>33</v>
      </c>
      <c r="AD38" s="1" t="b">
        <v>1</v>
      </c>
      <c r="AE38" s="1" t="b">
        <v>1</v>
      </c>
      <c r="AF38" s="1" t="b">
        <v>1</v>
      </c>
      <c r="AG38" s="1" t="b">
        <v>0</v>
      </c>
      <c r="AH38" s="1">
        <v>0</v>
      </c>
      <c r="AI38" s="1">
        <v>0</v>
      </c>
      <c r="AJ38" s="1">
        <v>6.2831853070000001</v>
      </c>
      <c r="AK38" s="1">
        <v>0.01</v>
      </c>
      <c r="AL38" s="1" t="s">
        <v>48</v>
      </c>
      <c r="AM38" s="1" t="str">
        <f t="shared" si="0"/>
        <v>SPACL2024-01-18 20-01-23</v>
      </c>
    </row>
    <row r="39" spans="1:39" s="2" customFormat="1" x14ac:dyDescent="0.25">
      <c r="A39" s="2">
        <v>38</v>
      </c>
      <c r="B39" s="2" t="s">
        <v>40</v>
      </c>
      <c r="C39" s="2">
        <v>10</v>
      </c>
      <c r="D39" s="2">
        <v>8</v>
      </c>
      <c r="E39" s="2">
        <v>8</v>
      </c>
      <c r="F39" s="2">
        <v>339</v>
      </c>
      <c r="G39" s="2">
        <v>499</v>
      </c>
      <c r="H39" s="94">
        <v>100</v>
      </c>
      <c r="I39" s="94">
        <v>100</v>
      </c>
      <c r="J39" s="94">
        <v>93.6</v>
      </c>
      <c r="K39" s="227">
        <v>94.5</v>
      </c>
      <c r="L39" s="221">
        <v>93.75</v>
      </c>
      <c r="M39" s="275">
        <v>87.083333330000002</v>
      </c>
      <c r="N39" s="221">
        <v>87.02</v>
      </c>
      <c r="O39" s="227">
        <v>85.8</v>
      </c>
      <c r="P39" s="177">
        <v>500</v>
      </c>
      <c r="Q39" s="2">
        <v>10</v>
      </c>
      <c r="R39" s="2" t="s">
        <v>45</v>
      </c>
      <c r="S39" s="2" t="b">
        <v>1</v>
      </c>
      <c r="T39" s="2">
        <v>8</v>
      </c>
      <c r="U39" s="2" t="b">
        <v>0</v>
      </c>
      <c r="V39" s="2" t="s">
        <v>32</v>
      </c>
      <c r="W39" s="2" t="s">
        <v>66</v>
      </c>
      <c r="X39" s="2" t="s">
        <v>38</v>
      </c>
      <c r="Y39" s="2">
        <v>48</v>
      </c>
      <c r="Z39" s="2">
        <v>48</v>
      </c>
      <c r="AA39" s="2">
        <v>1000</v>
      </c>
      <c r="AB39" s="2" t="s">
        <v>33</v>
      </c>
      <c r="AC39" s="2" t="s">
        <v>33</v>
      </c>
      <c r="AD39" s="2" t="b">
        <v>0</v>
      </c>
      <c r="AE39" s="2" t="b">
        <v>0</v>
      </c>
      <c r="AF39" s="2" t="b">
        <v>1</v>
      </c>
      <c r="AG39" s="2" t="b">
        <v>0</v>
      </c>
      <c r="AH39" s="2">
        <v>0</v>
      </c>
      <c r="AI39" s="2">
        <v>0</v>
      </c>
      <c r="AJ39" s="2">
        <v>6.2831853070000001</v>
      </c>
      <c r="AK39" s="2">
        <v>0.01</v>
      </c>
      <c r="AL39" s="2" t="s">
        <v>49</v>
      </c>
      <c r="AM39" s="2" t="str">
        <f t="shared" si="0"/>
        <v>NCL2024-01-18 21-26-07</v>
      </c>
    </row>
    <row r="40" spans="1:39" x14ac:dyDescent="0.25">
      <c r="A40">
        <v>39</v>
      </c>
      <c r="B40" t="s">
        <v>41</v>
      </c>
      <c r="C40">
        <v>10</v>
      </c>
      <c r="D40">
        <v>7</v>
      </c>
      <c r="E40">
        <v>3</v>
      </c>
      <c r="F40">
        <v>383</v>
      </c>
      <c r="G40">
        <v>499</v>
      </c>
      <c r="H40" s="92">
        <v>91.666666669999998</v>
      </c>
      <c r="I40" s="92">
        <v>87.5</v>
      </c>
      <c r="J40" s="92">
        <v>83.5</v>
      </c>
      <c r="K40" s="276">
        <v>82.8</v>
      </c>
      <c r="L40" s="223">
        <v>83.541666669999998</v>
      </c>
      <c r="M40" s="223">
        <v>82.291666669999998</v>
      </c>
      <c r="N40" s="223">
        <v>78.67</v>
      </c>
      <c r="O40" s="223">
        <v>80.8</v>
      </c>
      <c r="P40" s="176">
        <v>500</v>
      </c>
      <c r="Q40">
        <v>10</v>
      </c>
      <c r="R40" t="s">
        <v>45</v>
      </c>
      <c r="S40" t="b">
        <v>1</v>
      </c>
      <c r="T40">
        <v>8</v>
      </c>
      <c r="U40" t="b">
        <v>0</v>
      </c>
      <c r="V40" t="s">
        <v>32</v>
      </c>
      <c r="W40" t="s">
        <v>66</v>
      </c>
      <c r="X40" t="s">
        <v>38</v>
      </c>
      <c r="Y40">
        <v>48</v>
      </c>
      <c r="Z40">
        <v>48</v>
      </c>
      <c r="AA40">
        <v>1000</v>
      </c>
      <c r="AB40" t="s">
        <v>33</v>
      </c>
      <c r="AC40" t="s">
        <v>33</v>
      </c>
      <c r="AD40" t="b">
        <v>0</v>
      </c>
      <c r="AE40" t="b">
        <v>0</v>
      </c>
      <c r="AF40" t="b">
        <v>1</v>
      </c>
      <c r="AG40" t="b">
        <v>0</v>
      </c>
      <c r="AH40">
        <v>0</v>
      </c>
      <c r="AI40">
        <v>0</v>
      </c>
      <c r="AJ40">
        <v>6.2831853070000001</v>
      </c>
      <c r="AK40">
        <v>0.01</v>
      </c>
      <c r="AL40" t="s">
        <v>49</v>
      </c>
      <c r="AM40" t="str">
        <f t="shared" si="0"/>
        <v>CL2024-01-18 21-26-07</v>
      </c>
    </row>
    <row r="41" spans="1:39" x14ac:dyDescent="0.25">
      <c r="A41">
        <v>40</v>
      </c>
      <c r="B41" t="s">
        <v>42</v>
      </c>
      <c r="C41">
        <v>10</v>
      </c>
      <c r="D41">
        <v>0</v>
      </c>
      <c r="E41">
        <v>3</v>
      </c>
      <c r="F41">
        <v>337</v>
      </c>
      <c r="G41">
        <v>499</v>
      </c>
      <c r="H41" s="90">
        <v>97.916666669999998</v>
      </c>
      <c r="I41" s="154">
        <v>93.75</v>
      </c>
      <c r="J41" s="157">
        <v>91.7</v>
      </c>
      <c r="K41" s="223">
        <v>82.5</v>
      </c>
      <c r="L41" s="277">
        <v>94.583333330000002</v>
      </c>
      <c r="M41" s="225">
        <v>88.75</v>
      </c>
      <c r="N41" s="278">
        <v>88.78</v>
      </c>
      <c r="O41" s="279">
        <v>84.94</v>
      </c>
      <c r="P41" s="176">
        <v>500</v>
      </c>
      <c r="Q41">
        <v>10</v>
      </c>
      <c r="R41" t="s">
        <v>45</v>
      </c>
      <c r="S41" t="b">
        <v>1</v>
      </c>
      <c r="T41">
        <v>8</v>
      </c>
      <c r="U41" t="b">
        <v>0</v>
      </c>
      <c r="V41" t="s">
        <v>32</v>
      </c>
      <c r="W41" t="s">
        <v>66</v>
      </c>
      <c r="X41" t="s">
        <v>38</v>
      </c>
      <c r="Y41">
        <v>48</v>
      </c>
      <c r="Z41">
        <v>48</v>
      </c>
      <c r="AA41">
        <v>1000</v>
      </c>
      <c r="AB41" t="s">
        <v>33</v>
      </c>
      <c r="AC41" t="s">
        <v>33</v>
      </c>
      <c r="AD41" t="b">
        <v>0</v>
      </c>
      <c r="AE41" t="b">
        <v>0</v>
      </c>
      <c r="AF41" t="b">
        <v>1</v>
      </c>
      <c r="AG41" t="b">
        <v>0</v>
      </c>
      <c r="AH41">
        <v>0</v>
      </c>
      <c r="AI41">
        <v>0</v>
      </c>
      <c r="AJ41">
        <v>6.2831853070000001</v>
      </c>
      <c r="AK41">
        <v>0.01</v>
      </c>
      <c r="AL41" t="s">
        <v>49</v>
      </c>
      <c r="AM41" t="str">
        <f t="shared" si="0"/>
        <v>ACL2024-01-18 21-26-07</v>
      </c>
    </row>
    <row r="42" spans="1:39" x14ac:dyDescent="0.25">
      <c r="A42">
        <v>41</v>
      </c>
      <c r="B42" t="s">
        <v>43</v>
      </c>
      <c r="C42">
        <v>10</v>
      </c>
      <c r="D42">
        <v>1</v>
      </c>
      <c r="E42">
        <v>1</v>
      </c>
      <c r="F42">
        <v>480</v>
      </c>
      <c r="G42">
        <v>499</v>
      </c>
      <c r="H42" s="98">
        <v>95.833333330000002</v>
      </c>
      <c r="I42" s="90">
        <v>91.666666669999998</v>
      </c>
      <c r="J42" s="160">
        <v>84.4</v>
      </c>
      <c r="K42" s="280">
        <v>86.9</v>
      </c>
      <c r="L42" s="281">
        <v>85.625</v>
      </c>
      <c r="M42" s="282">
        <v>84.166666669999998</v>
      </c>
      <c r="N42" s="283">
        <v>81.34</v>
      </c>
      <c r="O42" s="242">
        <v>81.7</v>
      </c>
      <c r="P42" s="176">
        <v>500</v>
      </c>
      <c r="Q42">
        <v>10</v>
      </c>
      <c r="R42" t="s">
        <v>45</v>
      </c>
      <c r="S42" t="b">
        <v>1</v>
      </c>
      <c r="T42">
        <v>8</v>
      </c>
      <c r="U42" t="b">
        <v>0</v>
      </c>
      <c r="V42" t="s">
        <v>32</v>
      </c>
      <c r="W42" t="s">
        <v>66</v>
      </c>
      <c r="X42" t="s">
        <v>38</v>
      </c>
      <c r="Y42">
        <v>48</v>
      </c>
      <c r="Z42">
        <v>48</v>
      </c>
      <c r="AA42">
        <v>1000</v>
      </c>
      <c r="AB42" t="s">
        <v>33</v>
      </c>
      <c r="AC42" t="s">
        <v>33</v>
      </c>
      <c r="AD42" t="b">
        <v>0</v>
      </c>
      <c r="AE42" t="b">
        <v>0</v>
      </c>
      <c r="AF42" t="b">
        <v>1</v>
      </c>
      <c r="AG42" t="b">
        <v>0</v>
      </c>
      <c r="AH42">
        <v>0</v>
      </c>
      <c r="AI42">
        <v>0</v>
      </c>
      <c r="AJ42">
        <v>6.2831853070000001</v>
      </c>
      <c r="AK42">
        <v>0.01</v>
      </c>
      <c r="AL42" t="s">
        <v>49</v>
      </c>
      <c r="AM42" t="str">
        <f t="shared" si="0"/>
        <v>SPCL2024-01-18 21-26-07</v>
      </c>
    </row>
    <row r="43" spans="1:39" s="1" customFormat="1" x14ac:dyDescent="0.25">
      <c r="A43">
        <v>42</v>
      </c>
      <c r="B43" s="1" t="s">
        <v>44</v>
      </c>
      <c r="C43" s="1">
        <v>10</v>
      </c>
      <c r="D43" s="1">
        <v>0</v>
      </c>
      <c r="E43" s="1">
        <v>2</v>
      </c>
      <c r="F43" s="1">
        <v>154</v>
      </c>
      <c r="G43" s="1">
        <v>499</v>
      </c>
      <c r="H43" s="93">
        <v>100</v>
      </c>
      <c r="I43" s="107">
        <v>89.583333330000002</v>
      </c>
      <c r="J43" s="96">
        <v>88.2</v>
      </c>
      <c r="K43" s="226">
        <v>83.9</v>
      </c>
      <c r="L43" s="224">
        <v>99.375</v>
      </c>
      <c r="M43" s="226">
        <v>85</v>
      </c>
      <c r="N43" s="224">
        <v>91.08</v>
      </c>
      <c r="O43" s="226">
        <v>81.87</v>
      </c>
      <c r="P43" s="178">
        <v>500</v>
      </c>
      <c r="Q43" s="1">
        <v>10</v>
      </c>
      <c r="R43" s="1" t="s">
        <v>45</v>
      </c>
      <c r="S43" s="1" t="b">
        <v>1</v>
      </c>
      <c r="T43" s="1">
        <v>8</v>
      </c>
      <c r="U43" s="1" t="b">
        <v>0</v>
      </c>
      <c r="V43" s="1" t="s">
        <v>32</v>
      </c>
      <c r="W43" s="1" t="s">
        <v>66</v>
      </c>
      <c r="X43" s="1" t="s">
        <v>38</v>
      </c>
      <c r="Y43" s="1">
        <v>48</v>
      </c>
      <c r="Z43" s="1">
        <v>48</v>
      </c>
      <c r="AA43" s="1">
        <v>1000</v>
      </c>
      <c r="AB43" s="1" t="s">
        <v>33</v>
      </c>
      <c r="AC43" s="1" t="s">
        <v>33</v>
      </c>
      <c r="AD43" s="1" t="b">
        <v>0</v>
      </c>
      <c r="AE43" s="1" t="b">
        <v>0</v>
      </c>
      <c r="AF43" s="1" t="b">
        <v>1</v>
      </c>
      <c r="AG43" s="1" t="b">
        <v>0</v>
      </c>
      <c r="AH43" s="1">
        <v>0</v>
      </c>
      <c r="AI43" s="1">
        <v>0</v>
      </c>
      <c r="AJ43" s="1">
        <v>6.2831853070000001</v>
      </c>
      <c r="AK43" s="1">
        <v>0.01</v>
      </c>
      <c r="AL43" s="1" t="s">
        <v>49</v>
      </c>
      <c r="AM43" s="1" t="str">
        <f t="shared" si="0"/>
        <v>SPACL2024-01-18 21-26-07</v>
      </c>
    </row>
    <row r="44" spans="1:39" x14ac:dyDescent="0.25">
      <c r="A44" s="2">
        <v>43</v>
      </c>
      <c r="B44" t="s">
        <v>40</v>
      </c>
      <c r="C44">
        <v>10</v>
      </c>
      <c r="D44">
        <v>8</v>
      </c>
      <c r="E44">
        <v>8</v>
      </c>
      <c r="F44">
        <v>214</v>
      </c>
      <c r="G44">
        <v>499</v>
      </c>
      <c r="H44" s="108">
        <v>95.8333333333333</v>
      </c>
      <c r="I44" s="90">
        <v>93.75</v>
      </c>
      <c r="J44" s="92">
        <v>83.5</v>
      </c>
      <c r="K44" s="284">
        <v>86.4</v>
      </c>
      <c r="L44" s="222">
        <v>91.25</v>
      </c>
      <c r="M44" s="222">
        <v>89.374999999999901</v>
      </c>
      <c r="N44" s="222">
        <v>79.95</v>
      </c>
      <c r="O44" s="222">
        <v>81.179999999999893</v>
      </c>
      <c r="P44" s="176">
        <v>500</v>
      </c>
      <c r="Q44">
        <v>10</v>
      </c>
      <c r="R44" t="s">
        <v>45</v>
      </c>
      <c r="S44" t="b">
        <v>1</v>
      </c>
      <c r="T44">
        <v>8</v>
      </c>
      <c r="U44" t="b">
        <v>0</v>
      </c>
      <c r="V44" t="s">
        <v>32</v>
      </c>
      <c r="W44" t="s">
        <v>66</v>
      </c>
      <c r="X44" t="s">
        <v>38</v>
      </c>
      <c r="Y44">
        <v>48</v>
      </c>
      <c r="Z44">
        <v>48</v>
      </c>
      <c r="AA44">
        <v>1000</v>
      </c>
      <c r="AB44" t="s">
        <v>34</v>
      </c>
      <c r="AC44" t="s">
        <v>34</v>
      </c>
      <c r="AD44" t="b">
        <v>1</v>
      </c>
      <c r="AE44" t="b">
        <v>1</v>
      </c>
      <c r="AF44" t="b">
        <v>1</v>
      </c>
      <c r="AG44" t="b">
        <v>0</v>
      </c>
      <c r="AH44">
        <v>0</v>
      </c>
      <c r="AI44">
        <v>0</v>
      </c>
      <c r="AJ44">
        <v>6.28318530717958</v>
      </c>
      <c r="AK44">
        <v>0.01</v>
      </c>
      <c r="AL44" t="s">
        <v>56</v>
      </c>
      <c r="AM44" t="str">
        <f t="shared" si="0"/>
        <v>NCL2024-01-19 08-39-35</v>
      </c>
    </row>
    <row r="45" spans="1:39" x14ac:dyDescent="0.25">
      <c r="A45">
        <v>44</v>
      </c>
      <c r="B45" t="s">
        <v>41</v>
      </c>
      <c r="C45">
        <v>10</v>
      </c>
      <c r="D45">
        <v>6</v>
      </c>
      <c r="E45">
        <v>6</v>
      </c>
      <c r="F45">
        <v>457</v>
      </c>
      <c r="G45">
        <v>499</v>
      </c>
      <c r="H45" s="92">
        <v>93.75</v>
      </c>
      <c r="I45" s="90">
        <v>93.75</v>
      </c>
      <c r="J45" s="159">
        <v>84.4</v>
      </c>
      <c r="K45" s="222">
        <v>84.8</v>
      </c>
      <c r="L45" s="223">
        <v>88.749999999999901</v>
      </c>
      <c r="M45" s="285">
        <v>88.5416666666666</v>
      </c>
      <c r="N45" s="223">
        <v>77.39</v>
      </c>
      <c r="O45" s="223">
        <v>78.479999999999905</v>
      </c>
      <c r="P45" s="176">
        <v>500</v>
      </c>
      <c r="Q45">
        <v>10</v>
      </c>
      <c r="R45" t="s">
        <v>45</v>
      </c>
      <c r="S45" t="b">
        <v>1</v>
      </c>
      <c r="T45">
        <v>8</v>
      </c>
      <c r="U45" t="b">
        <v>0</v>
      </c>
      <c r="V45" t="s">
        <v>32</v>
      </c>
      <c r="W45" t="s">
        <v>66</v>
      </c>
      <c r="X45" t="s">
        <v>38</v>
      </c>
      <c r="Y45">
        <v>48</v>
      </c>
      <c r="Z45">
        <v>48</v>
      </c>
      <c r="AA45">
        <v>1000</v>
      </c>
      <c r="AB45" t="s">
        <v>34</v>
      </c>
      <c r="AC45" t="s">
        <v>34</v>
      </c>
      <c r="AD45" t="b">
        <v>1</v>
      </c>
      <c r="AE45" t="b">
        <v>1</v>
      </c>
      <c r="AF45" t="b">
        <v>1</v>
      </c>
      <c r="AG45" t="b">
        <v>0</v>
      </c>
      <c r="AH45">
        <v>0</v>
      </c>
      <c r="AI45">
        <v>0</v>
      </c>
      <c r="AJ45">
        <v>6.28318530717958</v>
      </c>
      <c r="AK45">
        <v>0.01</v>
      </c>
      <c r="AL45" t="s">
        <v>56</v>
      </c>
      <c r="AM45" t="str">
        <f t="shared" si="0"/>
        <v>CL2024-01-19 08-39-35</v>
      </c>
    </row>
    <row r="46" spans="1:39" x14ac:dyDescent="0.25">
      <c r="A46">
        <v>45</v>
      </c>
      <c r="B46" t="s">
        <v>42</v>
      </c>
      <c r="C46">
        <v>10</v>
      </c>
      <c r="D46">
        <v>8</v>
      </c>
      <c r="E46">
        <v>0</v>
      </c>
      <c r="F46">
        <v>275</v>
      </c>
      <c r="G46">
        <v>499</v>
      </c>
      <c r="H46" s="91">
        <v>100</v>
      </c>
      <c r="I46" s="91">
        <v>95.8333333333333</v>
      </c>
      <c r="J46" s="91">
        <v>92.9</v>
      </c>
      <c r="K46" s="225">
        <v>90.6</v>
      </c>
      <c r="L46" s="286">
        <v>94.5833333333333</v>
      </c>
      <c r="M46" s="225">
        <v>91.0416666666666</v>
      </c>
      <c r="N46" s="287">
        <v>86.85</v>
      </c>
      <c r="O46" s="288">
        <v>82.63</v>
      </c>
      <c r="P46" s="176">
        <v>500</v>
      </c>
      <c r="Q46">
        <v>10</v>
      </c>
      <c r="R46" t="s">
        <v>45</v>
      </c>
      <c r="S46" t="b">
        <v>1</v>
      </c>
      <c r="T46">
        <v>8</v>
      </c>
      <c r="U46" t="b">
        <v>0</v>
      </c>
      <c r="V46" t="s">
        <v>32</v>
      </c>
      <c r="W46" t="s">
        <v>66</v>
      </c>
      <c r="X46" t="s">
        <v>38</v>
      </c>
      <c r="Y46">
        <v>48</v>
      </c>
      <c r="Z46">
        <v>48</v>
      </c>
      <c r="AA46">
        <v>1000</v>
      </c>
      <c r="AB46" t="s">
        <v>34</v>
      </c>
      <c r="AC46" t="s">
        <v>34</v>
      </c>
      <c r="AD46" t="b">
        <v>1</v>
      </c>
      <c r="AE46" t="b">
        <v>1</v>
      </c>
      <c r="AF46" t="b">
        <v>1</v>
      </c>
      <c r="AG46" t="b">
        <v>0</v>
      </c>
      <c r="AH46">
        <v>0</v>
      </c>
      <c r="AI46">
        <v>0</v>
      </c>
      <c r="AJ46">
        <v>6.28318530717958</v>
      </c>
      <c r="AK46">
        <v>0.01</v>
      </c>
      <c r="AL46" t="s">
        <v>56</v>
      </c>
      <c r="AM46" t="str">
        <f t="shared" si="0"/>
        <v>ACL2024-01-19 08-39-35</v>
      </c>
    </row>
    <row r="47" spans="1:39" x14ac:dyDescent="0.25">
      <c r="A47">
        <v>46</v>
      </c>
      <c r="B47" t="s">
        <v>43</v>
      </c>
      <c r="C47">
        <v>10</v>
      </c>
      <c r="D47">
        <v>7</v>
      </c>
      <c r="E47">
        <v>0</v>
      </c>
      <c r="F47">
        <v>369</v>
      </c>
      <c r="G47">
        <v>499</v>
      </c>
      <c r="H47" s="92">
        <v>93.75</v>
      </c>
      <c r="I47" s="140">
        <v>91.6666666666666</v>
      </c>
      <c r="J47" s="90">
        <v>85.6</v>
      </c>
      <c r="K47" s="237">
        <v>83.6</v>
      </c>
      <c r="L47" s="289">
        <v>89.1666666666666</v>
      </c>
      <c r="M47" s="223">
        <v>88.125</v>
      </c>
      <c r="N47" s="290">
        <v>78.209999999999994</v>
      </c>
      <c r="O47" s="291">
        <v>78.679999999999893</v>
      </c>
      <c r="P47" s="176">
        <v>500</v>
      </c>
      <c r="Q47">
        <v>10</v>
      </c>
      <c r="R47" t="s">
        <v>45</v>
      </c>
      <c r="S47" t="b">
        <v>1</v>
      </c>
      <c r="T47">
        <v>8</v>
      </c>
      <c r="U47" t="b">
        <v>0</v>
      </c>
      <c r="V47" t="s">
        <v>32</v>
      </c>
      <c r="W47" t="s">
        <v>66</v>
      </c>
      <c r="X47" t="s">
        <v>38</v>
      </c>
      <c r="Y47">
        <v>48</v>
      </c>
      <c r="Z47">
        <v>48</v>
      </c>
      <c r="AA47">
        <v>1000</v>
      </c>
      <c r="AB47" t="s">
        <v>34</v>
      </c>
      <c r="AC47" t="s">
        <v>34</v>
      </c>
      <c r="AD47" t="b">
        <v>1</v>
      </c>
      <c r="AE47" t="b">
        <v>1</v>
      </c>
      <c r="AF47" t="b">
        <v>1</v>
      </c>
      <c r="AG47" t="b">
        <v>0</v>
      </c>
      <c r="AH47">
        <v>0</v>
      </c>
      <c r="AI47">
        <v>0</v>
      </c>
      <c r="AJ47">
        <v>6.28318530717958</v>
      </c>
      <c r="AK47">
        <v>0.01</v>
      </c>
      <c r="AL47" t="s">
        <v>56</v>
      </c>
      <c r="AM47" t="str">
        <f t="shared" si="0"/>
        <v>SPCL2024-01-19 08-39-35</v>
      </c>
    </row>
    <row r="48" spans="1:39" s="1" customFormat="1" x14ac:dyDescent="0.25">
      <c r="A48">
        <v>47</v>
      </c>
      <c r="B48" s="1" t="s">
        <v>44</v>
      </c>
      <c r="C48" s="1">
        <v>10</v>
      </c>
      <c r="D48" s="1">
        <v>0</v>
      </c>
      <c r="E48" s="1">
        <v>2</v>
      </c>
      <c r="F48" s="1">
        <v>42</v>
      </c>
      <c r="G48" s="1">
        <v>499</v>
      </c>
      <c r="H48" s="93">
        <v>100</v>
      </c>
      <c r="I48" s="92">
        <v>81.25</v>
      </c>
      <c r="J48" s="109">
        <v>89.4</v>
      </c>
      <c r="K48" s="228">
        <v>69.599999999999994</v>
      </c>
      <c r="L48" s="224">
        <v>99.5833333333333</v>
      </c>
      <c r="M48" s="292">
        <v>89.999999999999901</v>
      </c>
      <c r="N48" s="224">
        <v>91.64</v>
      </c>
      <c r="O48" s="224">
        <v>83.35</v>
      </c>
      <c r="P48" s="178">
        <v>500</v>
      </c>
      <c r="Q48" s="1">
        <v>10</v>
      </c>
      <c r="R48" s="1" t="s">
        <v>45</v>
      </c>
      <c r="S48" s="1" t="b">
        <v>1</v>
      </c>
      <c r="T48" s="1">
        <v>8</v>
      </c>
      <c r="U48" s="1" t="b">
        <v>0</v>
      </c>
      <c r="V48" s="1" t="s">
        <v>32</v>
      </c>
      <c r="W48" s="1" t="s">
        <v>66</v>
      </c>
      <c r="X48" s="1" t="s">
        <v>38</v>
      </c>
      <c r="Y48" s="1">
        <v>48</v>
      </c>
      <c r="Z48" s="1">
        <v>48</v>
      </c>
      <c r="AA48" s="1">
        <v>1000</v>
      </c>
      <c r="AB48" s="1" t="s">
        <v>34</v>
      </c>
      <c r="AC48" s="1" t="s">
        <v>34</v>
      </c>
      <c r="AD48" s="1" t="b">
        <v>1</v>
      </c>
      <c r="AE48" s="1" t="b">
        <v>1</v>
      </c>
      <c r="AF48" s="1" t="b">
        <v>1</v>
      </c>
      <c r="AG48" s="1" t="b">
        <v>0</v>
      </c>
      <c r="AH48" s="1">
        <v>0</v>
      </c>
      <c r="AI48" s="1">
        <v>0</v>
      </c>
      <c r="AJ48" s="1">
        <v>6.28318530717958</v>
      </c>
      <c r="AK48" s="1">
        <v>0.01</v>
      </c>
      <c r="AL48" s="1" t="s">
        <v>56</v>
      </c>
      <c r="AM48" s="1" t="str">
        <f t="shared" si="0"/>
        <v>SPACL2024-01-19 08-39-35</v>
      </c>
    </row>
    <row r="49" spans="1:40" s="2" customFormat="1" x14ac:dyDescent="0.25">
      <c r="A49" s="2">
        <v>48</v>
      </c>
      <c r="B49" t="s">
        <v>40</v>
      </c>
      <c r="C49">
        <v>10</v>
      </c>
      <c r="D49">
        <v>7</v>
      </c>
      <c r="E49">
        <v>7</v>
      </c>
      <c r="F49">
        <v>207</v>
      </c>
      <c r="G49">
        <v>499</v>
      </c>
      <c r="H49" s="90">
        <v>97.9166666666666</v>
      </c>
      <c r="I49" s="91">
        <v>97.9166666666666</v>
      </c>
      <c r="J49" s="110">
        <v>89.8</v>
      </c>
      <c r="K49" s="293">
        <v>90.2</v>
      </c>
      <c r="L49" s="222">
        <v>92.2916666666666</v>
      </c>
      <c r="M49" s="222">
        <v>88.3333333333333</v>
      </c>
      <c r="N49" s="222">
        <v>83.37</v>
      </c>
      <c r="O49" s="223">
        <v>80.760000000000005</v>
      </c>
      <c r="P49" s="176">
        <v>500</v>
      </c>
      <c r="Q49">
        <v>10</v>
      </c>
      <c r="R49" t="s">
        <v>45</v>
      </c>
      <c r="S49" t="b">
        <v>1</v>
      </c>
      <c r="T49">
        <v>8</v>
      </c>
      <c r="U49" t="b">
        <v>0</v>
      </c>
      <c r="V49" t="s">
        <v>32</v>
      </c>
      <c r="W49" t="s">
        <v>66</v>
      </c>
      <c r="X49" t="s">
        <v>38</v>
      </c>
      <c r="Y49">
        <v>48</v>
      </c>
      <c r="Z49">
        <v>48</v>
      </c>
      <c r="AA49">
        <v>1000</v>
      </c>
      <c r="AB49" t="s">
        <v>34</v>
      </c>
      <c r="AC49" t="s">
        <v>34</v>
      </c>
      <c r="AD49" t="b">
        <v>0</v>
      </c>
      <c r="AE49" t="b">
        <v>0</v>
      </c>
      <c r="AF49" t="b">
        <v>1</v>
      </c>
      <c r="AG49" t="b">
        <v>0</v>
      </c>
      <c r="AH49">
        <v>0</v>
      </c>
      <c r="AI49">
        <v>0</v>
      </c>
      <c r="AJ49">
        <v>6.28318530717958</v>
      </c>
      <c r="AK49">
        <v>0.01</v>
      </c>
      <c r="AL49" t="s">
        <v>57</v>
      </c>
      <c r="AM49" s="2" t="str">
        <f t="shared" si="0"/>
        <v>NCL2024-01-19 09-17-15</v>
      </c>
    </row>
    <row r="50" spans="1:40" x14ac:dyDescent="0.25">
      <c r="A50">
        <v>49</v>
      </c>
      <c r="B50" t="s">
        <v>41</v>
      </c>
      <c r="C50">
        <v>10</v>
      </c>
      <c r="D50">
        <v>1</v>
      </c>
      <c r="E50">
        <v>1</v>
      </c>
      <c r="F50">
        <v>459</v>
      </c>
      <c r="G50">
        <v>499</v>
      </c>
      <c r="H50" s="90">
        <v>97.9166666666666</v>
      </c>
      <c r="I50" s="153">
        <v>95.8333333333333</v>
      </c>
      <c r="J50" s="92">
        <v>87.4</v>
      </c>
      <c r="K50" s="225">
        <v>90.5</v>
      </c>
      <c r="L50" s="290">
        <v>88.75</v>
      </c>
      <c r="M50" s="294">
        <v>88.125</v>
      </c>
      <c r="N50" s="223">
        <v>79.819999999999993</v>
      </c>
      <c r="O50" s="222">
        <v>81.73</v>
      </c>
      <c r="P50" s="176">
        <v>500</v>
      </c>
      <c r="Q50">
        <v>10</v>
      </c>
      <c r="R50" t="s">
        <v>45</v>
      </c>
      <c r="S50" t="b">
        <v>1</v>
      </c>
      <c r="T50">
        <v>8</v>
      </c>
      <c r="U50" t="b">
        <v>0</v>
      </c>
      <c r="V50" t="s">
        <v>32</v>
      </c>
      <c r="W50" t="s">
        <v>66</v>
      </c>
      <c r="X50" t="s">
        <v>38</v>
      </c>
      <c r="Y50">
        <v>48</v>
      </c>
      <c r="Z50">
        <v>48</v>
      </c>
      <c r="AA50">
        <v>1000</v>
      </c>
      <c r="AB50" t="s">
        <v>34</v>
      </c>
      <c r="AC50" t="s">
        <v>34</v>
      </c>
      <c r="AD50" t="b">
        <v>0</v>
      </c>
      <c r="AE50" t="b">
        <v>0</v>
      </c>
      <c r="AF50" t="b">
        <v>1</v>
      </c>
      <c r="AG50" t="b">
        <v>0</v>
      </c>
      <c r="AH50">
        <v>0</v>
      </c>
      <c r="AI50">
        <v>0</v>
      </c>
      <c r="AJ50">
        <v>6.28318530717958</v>
      </c>
      <c r="AK50">
        <v>0.01</v>
      </c>
      <c r="AL50" t="s">
        <v>57</v>
      </c>
      <c r="AM50" t="str">
        <f t="shared" si="0"/>
        <v>CL2024-01-19 09-17-15</v>
      </c>
    </row>
    <row r="51" spans="1:40" x14ac:dyDescent="0.25">
      <c r="A51">
        <v>50</v>
      </c>
      <c r="B51" t="s">
        <v>42</v>
      </c>
      <c r="C51">
        <v>10</v>
      </c>
      <c r="D51">
        <v>2</v>
      </c>
      <c r="E51">
        <v>0</v>
      </c>
      <c r="F51">
        <v>401</v>
      </c>
      <c r="G51">
        <v>499</v>
      </c>
      <c r="H51" s="91">
        <v>100</v>
      </c>
      <c r="I51" s="90">
        <v>91.6666666666666</v>
      </c>
      <c r="J51" s="91">
        <v>91.1</v>
      </c>
      <c r="K51" s="295">
        <v>85.1</v>
      </c>
      <c r="L51" s="287">
        <v>96.875</v>
      </c>
      <c r="M51" s="225">
        <v>92.2916666666666</v>
      </c>
      <c r="N51" s="225">
        <v>86.93</v>
      </c>
      <c r="O51" s="225">
        <v>85.69</v>
      </c>
      <c r="P51" s="176">
        <v>500</v>
      </c>
      <c r="Q51">
        <v>10</v>
      </c>
      <c r="R51" t="s">
        <v>45</v>
      </c>
      <c r="S51" t="b">
        <v>1</v>
      </c>
      <c r="T51">
        <v>8</v>
      </c>
      <c r="U51" t="b">
        <v>0</v>
      </c>
      <c r="V51" t="s">
        <v>32</v>
      </c>
      <c r="W51" t="s">
        <v>66</v>
      </c>
      <c r="X51" t="s">
        <v>38</v>
      </c>
      <c r="Y51">
        <v>48</v>
      </c>
      <c r="Z51">
        <v>48</v>
      </c>
      <c r="AA51">
        <v>1000</v>
      </c>
      <c r="AB51" t="s">
        <v>34</v>
      </c>
      <c r="AC51" t="s">
        <v>34</v>
      </c>
      <c r="AD51" t="b">
        <v>0</v>
      </c>
      <c r="AE51" t="b">
        <v>0</v>
      </c>
      <c r="AF51" t="b">
        <v>1</v>
      </c>
      <c r="AG51" t="b">
        <v>0</v>
      </c>
      <c r="AH51">
        <v>0</v>
      </c>
      <c r="AI51">
        <v>0</v>
      </c>
      <c r="AJ51">
        <v>6.28318530717958</v>
      </c>
      <c r="AK51">
        <v>0.01</v>
      </c>
      <c r="AL51" t="s">
        <v>57</v>
      </c>
      <c r="AM51" t="str">
        <f t="shared" si="0"/>
        <v>ACL2024-01-19 09-17-15</v>
      </c>
    </row>
    <row r="52" spans="1:40" x14ac:dyDescent="0.25">
      <c r="A52">
        <v>51</v>
      </c>
      <c r="B52" t="s">
        <v>43</v>
      </c>
      <c r="C52">
        <v>10</v>
      </c>
      <c r="D52">
        <v>3</v>
      </c>
      <c r="E52">
        <v>7</v>
      </c>
      <c r="F52">
        <v>476</v>
      </c>
      <c r="G52">
        <v>499</v>
      </c>
      <c r="H52" s="92">
        <v>95.8333333333333</v>
      </c>
      <c r="I52" s="90">
        <v>91.6666666666666</v>
      </c>
      <c r="J52" s="90">
        <v>88.5</v>
      </c>
      <c r="K52" s="222">
        <v>88.6</v>
      </c>
      <c r="L52" s="223">
        <v>87.0833333333333</v>
      </c>
      <c r="M52" s="223">
        <v>85.2083333333333</v>
      </c>
      <c r="N52" s="290">
        <v>80.959999999999994</v>
      </c>
      <c r="O52" s="296">
        <v>81.03</v>
      </c>
      <c r="P52" s="176">
        <v>500</v>
      </c>
      <c r="Q52">
        <v>10</v>
      </c>
      <c r="R52" t="s">
        <v>45</v>
      </c>
      <c r="S52" t="b">
        <v>1</v>
      </c>
      <c r="T52">
        <v>8</v>
      </c>
      <c r="U52" t="b">
        <v>0</v>
      </c>
      <c r="V52" t="s">
        <v>32</v>
      </c>
      <c r="W52" t="s">
        <v>66</v>
      </c>
      <c r="X52" t="s">
        <v>38</v>
      </c>
      <c r="Y52">
        <v>48</v>
      </c>
      <c r="Z52">
        <v>48</v>
      </c>
      <c r="AA52">
        <v>1000</v>
      </c>
      <c r="AB52" t="s">
        <v>34</v>
      </c>
      <c r="AC52" t="s">
        <v>34</v>
      </c>
      <c r="AD52" t="b">
        <v>0</v>
      </c>
      <c r="AE52" t="b">
        <v>0</v>
      </c>
      <c r="AF52" t="b">
        <v>1</v>
      </c>
      <c r="AG52" t="b">
        <v>0</v>
      </c>
      <c r="AH52">
        <v>0</v>
      </c>
      <c r="AI52">
        <v>0</v>
      </c>
      <c r="AJ52">
        <v>6.28318530717958</v>
      </c>
      <c r="AK52">
        <v>0.01</v>
      </c>
      <c r="AL52" t="s">
        <v>57</v>
      </c>
      <c r="AM52" t="str">
        <f t="shared" si="0"/>
        <v>SPCL2024-01-19 09-17-15</v>
      </c>
    </row>
    <row r="53" spans="1:40" s="1" customFormat="1" x14ac:dyDescent="0.25">
      <c r="A53">
        <v>52</v>
      </c>
      <c r="B53" t="s">
        <v>44</v>
      </c>
      <c r="C53">
        <v>10</v>
      </c>
      <c r="D53">
        <v>0</v>
      </c>
      <c r="E53">
        <v>5</v>
      </c>
      <c r="F53">
        <v>33</v>
      </c>
      <c r="G53">
        <v>499</v>
      </c>
      <c r="H53" s="91">
        <v>100</v>
      </c>
      <c r="I53" s="92">
        <v>87.5</v>
      </c>
      <c r="J53" s="158">
        <v>88.1</v>
      </c>
      <c r="K53" s="223">
        <v>80.599999999999994</v>
      </c>
      <c r="L53" s="225">
        <v>100</v>
      </c>
      <c r="M53" s="297">
        <v>88.9583333333333</v>
      </c>
      <c r="N53" s="225">
        <v>86.93</v>
      </c>
      <c r="O53" s="298">
        <v>83.09</v>
      </c>
      <c r="P53" s="178">
        <v>500</v>
      </c>
      <c r="Q53" s="1">
        <v>10</v>
      </c>
      <c r="R53" s="1" t="s">
        <v>45</v>
      </c>
      <c r="S53" s="1" t="b">
        <v>1</v>
      </c>
      <c r="T53" s="1">
        <v>8</v>
      </c>
      <c r="U53" s="1" t="b">
        <v>0</v>
      </c>
      <c r="V53" s="1" t="s">
        <v>32</v>
      </c>
      <c r="W53" s="1" t="s">
        <v>66</v>
      </c>
      <c r="X53" s="1" t="s">
        <v>38</v>
      </c>
      <c r="Y53" s="1">
        <v>48</v>
      </c>
      <c r="Z53" s="1">
        <v>48</v>
      </c>
      <c r="AA53" s="1">
        <v>1000</v>
      </c>
      <c r="AB53" s="1" t="s">
        <v>34</v>
      </c>
      <c r="AC53" s="1" t="s">
        <v>34</v>
      </c>
      <c r="AD53" s="1" t="b">
        <v>0</v>
      </c>
      <c r="AE53" s="1" t="b">
        <v>0</v>
      </c>
      <c r="AF53" s="1" t="b">
        <v>1</v>
      </c>
      <c r="AG53" s="1" t="b">
        <v>0</v>
      </c>
      <c r="AH53" s="1">
        <v>0</v>
      </c>
      <c r="AI53" s="1">
        <v>0</v>
      </c>
      <c r="AJ53" s="1">
        <v>6.28318530717958</v>
      </c>
      <c r="AK53" s="1">
        <v>0.01</v>
      </c>
      <c r="AL53" s="1" t="s">
        <v>57</v>
      </c>
      <c r="AM53" s="1" t="str">
        <f t="shared" si="0"/>
        <v>SPACL2024-01-19 09-17-15</v>
      </c>
    </row>
    <row r="54" spans="1:40" s="2" customFormat="1" x14ac:dyDescent="0.25">
      <c r="A54" s="2">
        <v>53</v>
      </c>
      <c r="B54" s="2" t="s">
        <v>40</v>
      </c>
      <c r="C54" s="2">
        <v>10</v>
      </c>
      <c r="D54" s="2">
        <v>3</v>
      </c>
      <c r="E54" s="2">
        <v>3</v>
      </c>
      <c r="F54" s="2">
        <v>197</v>
      </c>
      <c r="G54" s="2">
        <v>499</v>
      </c>
      <c r="H54" s="111">
        <v>97.916666669999998</v>
      </c>
      <c r="I54" s="94">
        <v>95.833333330000002</v>
      </c>
      <c r="J54" s="112">
        <v>93.3</v>
      </c>
      <c r="K54" s="299">
        <v>94.3</v>
      </c>
      <c r="L54" s="300">
        <v>94.166666669999998</v>
      </c>
      <c r="M54" s="227">
        <v>90</v>
      </c>
      <c r="N54" s="301">
        <v>88.36</v>
      </c>
      <c r="O54" s="302">
        <v>88.74</v>
      </c>
      <c r="P54" s="176">
        <v>500</v>
      </c>
      <c r="Q54">
        <v>10</v>
      </c>
      <c r="R54" t="s">
        <v>45</v>
      </c>
      <c r="S54" t="b">
        <v>1</v>
      </c>
      <c r="T54">
        <v>8</v>
      </c>
      <c r="U54" t="b">
        <v>0</v>
      </c>
      <c r="V54" t="s">
        <v>32</v>
      </c>
      <c r="W54" t="s">
        <v>66</v>
      </c>
      <c r="X54" t="s">
        <v>38</v>
      </c>
      <c r="Y54">
        <v>48</v>
      </c>
      <c r="Z54">
        <v>48</v>
      </c>
      <c r="AA54">
        <v>1000</v>
      </c>
      <c r="AB54" t="s">
        <v>33</v>
      </c>
      <c r="AC54" t="s">
        <v>33</v>
      </c>
      <c r="AD54" t="b">
        <v>1</v>
      </c>
      <c r="AE54" t="b">
        <v>1</v>
      </c>
      <c r="AF54" t="b">
        <v>1</v>
      </c>
      <c r="AG54" t="b">
        <v>0</v>
      </c>
      <c r="AH54">
        <v>0</v>
      </c>
      <c r="AI54">
        <v>0</v>
      </c>
      <c r="AJ54">
        <v>6.28318530717958</v>
      </c>
      <c r="AK54">
        <v>0.01</v>
      </c>
      <c r="AL54" t="s">
        <v>58</v>
      </c>
      <c r="AM54" s="2" t="str">
        <f t="shared" si="0"/>
        <v>NCL2024-01-19 09-52-11</v>
      </c>
    </row>
    <row r="55" spans="1:40" x14ac:dyDescent="0.25">
      <c r="A55">
        <v>54</v>
      </c>
      <c r="B55" t="s">
        <v>41</v>
      </c>
      <c r="C55">
        <v>10</v>
      </c>
      <c r="D55">
        <v>7</v>
      </c>
      <c r="E55">
        <v>7</v>
      </c>
      <c r="F55">
        <v>462</v>
      </c>
      <c r="G55">
        <v>499</v>
      </c>
      <c r="H55" s="113">
        <v>93.75</v>
      </c>
      <c r="I55" s="90">
        <v>93.75</v>
      </c>
      <c r="J55" s="166">
        <v>89</v>
      </c>
      <c r="K55" s="271">
        <v>88.7</v>
      </c>
      <c r="L55" s="223">
        <v>87.916666669999998</v>
      </c>
      <c r="M55" s="223">
        <v>85.208333330000002</v>
      </c>
      <c r="N55" s="303">
        <v>86</v>
      </c>
      <c r="O55" s="304">
        <v>82.86</v>
      </c>
      <c r="P55" s="176">
        <v>500</v>
      </c>
      <c r="Q55">
        <v>10</v>
      </c>
      <c r="R55" t="s">
        <v>45</v>
      </c>
      <c r="S55" t="b">
        <v>1</v>
      </c>
      <c r="T55">
        <v>8</v>
      </c>
      <c r="U55" t="b">
        <v>0</v>
      </c>
      <c r="V55" t="s">
        <v>32</v>
      </c>
      <c r="W55" t="s">
        <v>66</v>
      </c>
      <c r="X55" t="s">
        <v>38</v>
      </c>
      <c r="Y55">
        <v>48</v>
      </c>
      <c r="Z55">
        <v>48</v>
      </c>
      <c r="AA55">
        <v>1000</v>
      </c>
      <c r="AB55" t="s">
        <v>33</v>
      </c>
      <c r="AC55" t="s">
        <v>33</v>
      </c>
      <c r="AD55" t="b">
        <v>1</v>
      </c>
      <c r="AE55" t="b">
        <v>1</v>
      </c>
      <c r="AF55" t="b">
        <v>1</v>
      </c>
      <c r="AG55" t="b">
        <v>0</v>
      </c>
      <c r="AH55">
        <v>0</v>
      </c>
      <c r="AI55">
        <v>0</v>
      </c>
      <c r="AJ55">
        <v>6.28318530717958</v>
      </c>
      <c r="AK55">
        <v>0.01</v>
      </c>
      <c r="AL55" t="s">
        <v>58</v>
      </c>
      <c r="AM55" t="str">
        <f t="shared" si="0"/>
        <v>CL2024-01-19 09-52-11</v>
      </c>
    </row>
    <row r="56" spans="1:40" x14ac:dyDescent="0.25">
      <c r="A56">
        <v>55</v>
      </c>
      <c r="B56" t="s">
        <v>42</v>
      </c>
      <c r="C56">
        <v>10</v>
      </c>
      <c r="D56">
        <v>8</v>
      </c>
      <c r="E56">
        <v>2</v>
      </c>
      <c r="F56">
        <v>366</v>
      </c>
      <c r="G56">
        <v>499</v>
      </c>
      <c r="H56" s="91">
        <v>100</v>
      </c>
      <c r="I56" s="90">
        <v>93.75</v>
      </c>
      <c r="J56" s="91">
        <v>94</v>
      </c>
      <c r="K56" s="222">
        <v>93</v>
      </c>
      <c r="L56" s="222">
        <v>91.458333330000002</v>
      </c>
      <c r="M56" s="222">
        <v>89.375</v>
      </c>
      <c r="N56" s="223">
        <v>85.5</v>
      </c>
      <c r="O56" s="222">
        <v>88.18</v>
      </c>
      <c r="P56" s="176">
        <v>500</v>
      </c>
      <c r="Q56">
        <v>10</v>
      </c>
      <c r="R56" t="s">
        <v>45</v>
      </c>
      <c r="S56" t="b">
        <v>1</v>
      </c>
      <c r="T56">
        <v>8</v>
      </c>
      <c r="U56" t="b">
        <v>0</v>
      </c>
      <c r="V56" t="s">
        <v>32</v>
      </c>
      <c r="W56" t="s">
        <v>66</v>
      </c>
      <c r="X56" t="s">
        <v>38</v>
      </c>
      <c r="Y56">
        <v>48</v>
      </c>
      <c r="Z56">
        <v>48</v>
      </c>
      <c r="AA56">
        <v>1000</v>
      </c>
      <c r="AB56" t="s">
        <v>33</v>
      </c>
      <c r="AC56" t="s">
        <v>33</v>
      </c>
      <c r="AD56" t="b">
        <v>1</v>
      </c>
      <c r="AE56" t="b">
        <v>1</v>
      </c>
      <c r="AF56" t="b">
        <v>1</v>
      </c>
      <c r="AG56" t="b">
        <v>0</v>
      </c>
      <c r="AH56">
        <v>0</v>
      </c>
      <c r="AI56">
        <v>0</v>
      </c>
      <c r="AJ56">
        <v>6.28318530717958</v>
      </c>
      <c r="AK56">
        <v>0.01</v>
      </c>
      <c r="AL56" t="s">
        <v>58</v>
      </c>
      <c r="AM56" t="str">
        <f t="shared" si="0"/>
        <v>ACL2024-01-19 09-52-11</v>
      </c>
    </row>
    <row r="57" spans="1:40" x14ac:dyDescent="0.25">
      <c r="A57">
        <v>56</v>
      </c>
      <c r="B57" t="s">
        <v>43</v>
      </c>
      <c r="C57">
        <v>10</v>
      </c>
      <c r="D57">
        <v>6</v>
      </c>
      <c r="E57">
        <v>6</v>
      </c>
      <c r="F57">
        <v>471</v>
      </c>
      <c r="G57">
        <v>499</v>
      </c>
      <c r="H57" s="98">
        <v>95.833333330000002</v>
      </c>
      <c r="I57" s="91">
        <v>95.833333330000002</v>
      </c>
      <c r="J57" s="90">
        <v>92.9</v>
      </c>
      <c r="K57" s="225">
        <v>94.5</v>
      </c>
      <c r="L57" s="305">
        <v>90</v>
      </c>
      <c r="M57" s="306">
        <v>86.666666669999998</v>
      </c>
      <c r="N57" s="222">
        <v>86.53</v>
      </c>
      <c r="O57" s="223">
        <v>82.14</v>
      </c>
      <c r="P57" s="176">
        <v>500</v>
      </c>
      <c r="Q57">
        <v>10</v>
      </c>
      <c r="R57" t="s">
        <v>45</v>
      </c>
      <c r="S57" t="b">
        <v>1</v>
      </c>
      <c r="T57">
        <v>8</v>
      </c>
      <c r="U57" t="b">
        <v>0</v>
      </c>
      <c r="V57" t="s">
        <v>32</v>
      </c>
      <c r="W57" t="s">
        <v>66</v>
      </c>
      <c r="X57" t="s">
        <v>38</v>
      </c>
      <c r="Y57">
        <v>48</v>
      </c>
      <c r="Z57">
        <v>48</v>
      </c>
      <c r="AA57">
        <v>1000</v>
      </c>
      <c r="AB57" t="s">
        <v>33</v>
      </c>
      <c r="AC57" t="s">
        <v>33</v>
      </c>
      <c r="AD57" t="b">
        <v>1</v>
      </c>
      <c r="AE57" t="b">
        <v>1</v>
      </c>
      <c r="AF57" t="b">
        <v>1</v>
      </c>
      <c r="AG57" t="b">
        <v>0</v>
      </c>
      <c r="AH57">
        <v>0</v>
      </c>
      <c r="AI57">
        <v>0</v>
      </c>
      <c r="AJ57">
        <v>6.28318530717958</v>
      </c>
      <c r="AK57">
        <v>0.01</v>
      </c>
      <c r="AL57" t="s">
        <v>58</v>
      </c>
      <c r="AM57" t="str">
        <f t="shared" si="0"/>
        <v>SPCL2024-01-19 09-52-11</v>
      </c>
    </row>
    <row r="58" spans="1:40" s="1" customFormat="1" x14ac:dyDescent="0.25">
      <c r="A58">
        <v>57</v>
      </c>
      <c r="B58" s="1" t="s">
        <v>44</v>
      </c>
      <c r="C58" s="1">
        <v>10</v>
      </c>
      <c r="D58" s="1">
        <v>1</v>
      </c>
      <c r="E58" s="1">
        <v>3</v>
      </c>
      <c r="F58" s="1">
        <v>35</v>
      </c>
      <c r="G58" s="1">
        <v>499</v>
      </c>
      <c r="H58" s="93">
        <v>100</v>
      </c>
      <c r="I58" s="95">
        <v>85.416666669999998</v>
      </c>
      <c r="J58" s="95">
        <v>87.6</v>
      </c>
      <c r="K58" s="228">
        <v>88.4</v>
      </c>
      <c r="L58" s="224">
        <v>98.333333330000002</v>
      </c>
      <c r="M58" s="224">
        <v>90</v>
      </c>
      <c r="N58" s="224">
        <v>90.1</v>
      </c>
      <c r="O58" s="224">
        <v>89.76</v>
      </c>
      <c r="P58" s="178">
        <v>500</v>
      </c>
      <c r="Q58" s="1">
        <v>10</v>
      </c>
      <c r="R58" s="1" t="s">
        <v>45</v>
      </c>
      <c r="S58" s="1" t="b">
        <v>1</v>
      </c>
      <c r="T58" s="1">
        <v>8</v>
      </c>
      <c r="U58" s="1" t="b">
        <v>0</v>
      </c>
      <c r="V58" s="1" t="s">
        <v>32</v>
      </c>
      <c r="W58" s="1" t="s">
        <v>66</v>
      </c>
      <c r="X58" s="1" t="s">
        <v>38</v>
      </c>
      <c r="Y58" s="1">
        <v>48</v>
      </c>
      <c r="Z58" s="1">
        <v>48</v>
      </c>
      <c r="AA58" s="1">
        <v>1000</v>
      </c>
      <c r="AB58" s="1" t="s">
        <v>33</v>
      </c>
      <c r="AC58" s="1" t="s">
        <v>33</v>
      </c>
      <c r="AD58" s="1" t="b">
        <v>1</v>
      </c>
      <c r="AE58" s="1" t="b">
        <v>1</v>
      </c>
      <c r="AF58" s="1" t="b">
        <v>1</v>
      </c>
      <c r="AG58" s="1" t="b">
        <v>0</v>
      </c>
      <c r="AH58" s="1">
        <v>0</v>
      </c>
      <c r="AI58" s="1">
        <v>0</v>
      </c>
      <c r="AJ58" s="1">
        <v>6.28318530717958</v>
      </c>
      <c r="AK58" s="1">
        <v>0.01</v>
      </c>
      <c r="AL58" s="1" t="s">
        <v>58</v>
      </c>
      <c r="AM58" s="1" t="str">
        <f t="shared" si="0"/>
        <v>SPACL2024-01-19 09-52-11</v>
      </c>
    </row>
    <row r="59" spans="1:40" s="2" customFormat="1" x14ac:dyDescent="0.25">
      <c r="A59" s="2">
        <v>58</v>
      </c>
      <c r="B59" t="s">
        <v>40</v>
      </c>
      <c r="C59">
        <v>10</v>
      </c>
      <c r="D59">
        <v>8</v>
      </c>
      <c r="E59">
        <v>8</v>
      </c>
      <c r="F59">
        <v>276</v>
      </c>
      <c r="G59">
        <v>499</v>
      </c>
      <c r="H59" s="94">
        <v>100</v>
      </c>
      <c r="I59" s="114">
        <v>91.6666666666666</v>
      </c>
      <c r="J59" s="94">
        <v>93</v>
      </c>
      <c r="K59" s="221">
        <v>85.8</v>
      </c>
      <c r="L59" s="307">
        <v>93.3333333333333</v>
      </c>
      <c r="M59" s="308">
        <v>85.625</v>
      </c>
      <c r="N59" s="309">
        <v>88.07</v>
      </c>
      <c r="O59" s="270">
        <v>84.16</v>
      </c>
      <c r="P59" s="177">
        <v>500</v>
      </c>
      <c r="Q59" s="2">
        <v>10</v>
      </c>
      <c r="R59" s="2" t="s">
        <v>45</v>
      </c>
      <c r="S59" s="2" t="b">
        <v>1</v>
      </c>
      <c r="T59" s="2">
        <v>8</v>
      </c>
      <c r="U59" s="2" t="b">
        <v>0</v>
      </c>
      <c r="V59" s="2" t="s">
        <v>32</v>
      </c>
      <c r="W59" s="2" t="s">
        <v>66</v>
      </c>
      <c r="X59" s="2" t="s">
        <v>38</v>
      </c>
      <c r="Y59" s="2">
        <v>48</v>
      </c>
      <c r="Z59" s="2">
        <v>48</v>
      </c>
      <c r="AA59" s="2">
        <v>1000</v>
      </c>
      <c r="AB59" s="2" t="s">
        <v>33</v>
      </c>
      <c r="AC59" s="2" t="s">
        <v>33</v>
      </c>
      <c r="AD59" s="2" t="b">
        <v>0</v>
      </c>
      <c r="AE59" s="2" t="b">
        <v>0</v>
      </c>
      <c r="AF59" s="2" t="b">
        <v>1</v>
      </c>
      <c r="AG59" s="2" t="b">
        <v>0</v>
      </c>
      <c r="AH59" s="2">
        <v>0</v>
      </c>
      <c r="AI59" s="2">
        <v>0</v>
      </c>
      <c r="AJ59" s="2">
        <v>6.2831853070000001</v>
      </c>
      <c r="AK59" s="2">
        <v>0.01</v>
      </c>
      <c r="AL59" s="2" t="s">
        <v>59</v>
      </c>
      <c r="AM59" s="2" t="str">
        <f t="shared" si="0"/>
        <v>NCL2024-01-19 10-28-33</v>
      </c>
    </row>
    <row r="60" spans="1:40" x14ac:dyDescent="0.25">
      <c r="A60">
        <v>59</v>
      </c>
      <c r="B60" t="s">
        <v>41</v>
      </c>
      <c r="C60">
        <v>10</v>
      </c>
      <c r="D60">
        <v>2</v>
      </c>
      <c r="E60">
        <v>9</v>
      </c>
      <c r="F60">
        <v>13</v>
      </c>
      <c r="G60">
        <v>499</v>
      </c>
      <c r="H60" s="149">
        <v>91.6666666666666</v>
      </c>
      <c r="I60" s="148">
        <v>79.1666666666666</v>
      </c>
      <c r="J60" s="92">
        <v>81.8</v>
      </c>
      <c r="K60" s="310">
        <v>78.2</v>
      </c>
      <c r="L60" s="311">
        <v>84.1666666666666</v>
      </c>
      <c r="M60" s="223">
        <v>82.0833333333333</v>
      </c>
      <c r="N60" s="312">
        <v>79.88</v>
      </c>
      <c r="O60" s="313">
        <v>80.97</v>
      </c>
      <c r="P60" s="176">
        <v>500</v>
      </c>
      <c r="Q60">
        <v>10</v>
      </c>
      <c r="R60" t="s">
        <v>45</v>
      </c>
      <c r="S60" t="b">
        <v>1</v>
      </c>
      <c r="T60">
        <v>8</v>
      </c>
      <c r="U60" t="b">
        <v>0</v>
      </c>
      <c r="V60" t="s">
        <v>32</v>
      </c>
      <c r="W60" t="s">
        <v>66</v>
      </c>
      <c r="X60" t="s">
        <v>38</v>
      </c>
      <c r="Y60">
        <v>48</v>
      </c>
      <c r="Z60">
        <v>48</v>
      </c>
      <c r="AA60">
        <v>1000</v>
      </c>
      <c r="AB60" t="s">
        <v>33</v>
      </c>
      <c r="AC60" t="s">
        <v>33</v>
      </c>
      <c r="AD60" t="b">
        <v>0</v>
      </c>
      <c r="AE60" t="b">
        <v>0</v>
      </c>
      <c r="AF60" t="b">
        <v>1</v>
      </c>
      <c r="AG60" t="b">
        <v>0</v>
      </c>
      <c r="AH60">
        <v>0</v>
      </c>
      <c r="AI60">
        <v>0</v>
      </c>
      <c r="AJ60">
        <v>6.2831853070000001</v>
      </c>
      <c r="AK60">
        <v>0.01</v>
      </c>
      <c r="AL60" t="s">
        <v>59</v>
      </c>
      <c r="AM60" t="str">
        <f t="shared" si="0"/>
        <v>CL2024-01-19 10-28-33</v>
      </c>
    </row>
    <row r="61" spans="1:40" x14ac:dyDescent="0.25">
      <c r="A61">
        <v>60</v>
      </c>
      <c r="B61" t="s">
        <v>42</v>
      </c>
      <c r="C61">
        <v>10</v>
      </c>
      <c r="D61">
        <v>4</v>
      </c>
      <c r="E61">
        <v>1</v>
      </c>
      <c r="F61">
        <v>373</v>
      </c>
      <c r="G61">
        <v>499</v>
      </c>
      <c r="H61" s="91">
        <v>100</v>
      </c>
      <c r="I61" s="91">
        <v>93.75</v>
      </c>
      <c r="J61" s="90">
        <v>91.2</v>
      </c>
      <c r="K61" s="225">
        <v>90.1</v>
      </c>
      <c r="L61" s="222">
        <v>93.124999999999901</v>
      </c>
      <c r="M61" s="225">
        <v>88.3333333333333</v>
      </c>
      <c r="N61" s="222">
        <v>86.96</v>
      </c>
      <c r="O61" s="225">
        <v>85.5</v>
      </c>
      <c r="P61" s="176">
        <v>500</v>
      </c>
      <c r="Q61">
        <v>10</v>
      </c>
      <c r="R61" t="s">
        <v>45</v>
      </c>
      <c r="S61" t="b">
        <v>1</v>
      </c>
      <c r="T61">
        <v>8</v>
      </c>
      <c r="U61" t="b">
        <v>0</v>
      </c>
      <c r="V61" t="s">
        <v>32</v>
      </c>
      <c r="W61" t="s">
        <v>66</v>
      </c>
      <c r="X61" t="s">
        <v>38</v>
      </c>
      <c r="Y61">
        <v>48</v>
      </c>
      <c r="Z61">
        <v>48</v>
      </c>
      <c r="AA61">
        <v>1000</v>
      </c>
      <c r="AB61" t="s">
        <v>33</v>
      </c>
      <c r="AC61" t="s">
        <v>33</v>
      </c>
      <c r="AD61" t="b">
        <v>0</v>
      </c>
      <c r="AE61" t="b">
        <v>0</v>
      </c>
      <c r="AF61" t="b">
        <v>1</v>
      </c>
      <c r="AG61" t="b">
        <v>0</v>
      </c>
      <c r="AH61">
        <v>0</v>
      </c>
      <c r="AI61">
        <v>0</v>
      </c>
      <c r="AJ61">
        <v>6.2831853070000001</v>
      </c>
      <c r="AK61">
        <v>0.01</v>
      </c>
      <c r="AL61" t="s">
        <v>59</v>
      </c>
      <c r="AM61" t="str">
        <f t="shared" si="0"/>
        <v>ACL2024-01-19 10-28-33</v>
      </c>
    </row>
    <row r="62" spans="1:40" x14ac:dyDescent="0.25">
      <c r="A62">
        <v>61</v>
      </c>
      <c r="B62" t="s">
        <v>43</v>
      </c>
      <c r="C62">
        <v>10</v>
      </c>
      <c r="D62">
        <v>5</v>
      </c>
      <c r="E62">
        <v>5</v>
      </c>
      <c r="F62">
        <v>488</v>
      </c>
      <c r="G62">
        <v>499</v>
      </c>
      <c r="H62" s="92">
        <v>89.5833333333333</v>
      </c>
      <c r="I62" s="90">
        <v>89.5833333333333</v>
      </c>
      <c r="J62" s="148">
        <v>85.3</v>
      </c>
      <c r="K62" s="284">
        <v>87</v>
      </c>
      <c r="L62" s="223">
        <v>83.749999999999901</v>
      </c>
      <c r="M62" s="223">
        <v>82.0833333333333</v>
      </c>
      <c r="N62" s="223">
        <v>79.16</v>
      </c>
      <c r="O62" s="223">
        <v>80.41</v>
      </c>
      <c r="P62" s="176">
        <v>500</v>
      </c>
      <c r="Q62">
        <v>10</v>
      </c>
      <c r="R62" t="s">
        <v>45</v>
      </c>
      <c r="S62" t="b">
        <v>1</v>
      </c>
      <c r="T62">
        <v>8</v>
      </c>
      <c r="U62" t="b">
        <v>0</v>
      </c>
      <c r="V62" t="s">
        <v>32</v>
      </c>
      <c r="W62" t="s">
        <v>66</v>
      </c>
      <c r="X62" t="s">
        <v>38</v>
      </c>
      <c r="Y62">
        <v>48</v>
      </c>
      <c r="Z62">
        <v>48</v>
      </c>
      <c r="AA62">
        <v>1000</v>
      </c>
      <c r="AB62" t="s">
        <v>33</v>
      </c>
      <c r="AC62" t="s">
        <v>33</v>
      </c>
      <c r="AD62" t="b">
        <v>0</v>
      </c>
      <c r="AE62" t="b">
        <v>0</v>
      </c>
      <c r="AF62" t="b">
        <v>1</v>
      </c>
      <c r="AG62" t="b">
        <v>0</v>
      </c>
      <c r="AH62">
        <v>0</v>
      </c>
      <c r="AI62">
        <v>0</v>
      </c>
      <c r="AJ62">
        <v>6.2831853070000001</v>
      </c>
      <c r="AK62">
        <v>0.01</v>
      </c>
      <c r="AL62" t="s">
        <v>59</v>
      </c>
      <c r="AM62" t="str">
        <f t="shared" si="0"/>
        <v>SPCL2024-01-19 10-28-33</v>
      </c>
    </row>
    <row r="63" spans="1:40" s="1" customFormat="1" x14ac:dyDescent="0.25">
      <c r="A63">
        <v>62</v>
      </c>
      <c r="B63" t="s">
        <v>44</v>
      </c>
      <c r="C63">
        <v>10</v>
      </c>
      <c r="D63">
        <v>0</v>
      </c>
      <c r="E63">
        <v>1</v>
      </c>
      <c r="F63">
        <v>94</v>
      </c>
      <c r="G63">
        <v>499</v>
      </c>
      <c r="H63" s="93">
        <v>100</v>
      </c>
      <c r="I63" s="95">
        <v>72.9166666666666</v>
      </c>
      <c r="J63" s="115">
        <v>92.5</v>
      </c>
      <c r="K63" s="228">
        <v>73.599999999999994</v>
      </c>
      <c r="L63" s="224">
        <v>99.7916666666666</v>
      </c>
      <c r="M63" s="226">
        <v>83.9583333333333</v>
      </c>
      <c r="N63" s="224">
        <v>90.84</v>
      </c>
      <c r="O63" s="226">
        <v>82.12</v>
      </c>
      <c r="P63" s="178">
        <v>500</v>
      </c>
      <c r="Q63" s="1">
        <v>10</v>
      </c>
      <c r="R63" s="1" t="s">
        <v>45</v>
      </c>
      <c r="S63" s="1" t="b">
        <v>1</v>
      </c>
      <c r="T63" s="1">
        <v>8</v>
      </c>
      <c r="U63" s="1" t="b">
        <v>0</v>
      </c>
      <c r="V63" s="1" t="s">
        <v>32</v>
      </c>
      <c r="W63" s="1" t="s">
        <v>66</v>
      </c>
      <c r="X63" s="1" t="s">
        <v>38</v>
      </c>
      <c r="Y63" s="1">
        <v>48</v>
      </c>
      <c r="Z63" s="1">
        <v>48</v>
      </c>
      <c r="AA63" s="1">
        <v>1000</v>
      </c>
      <c r="AB63" s="1" t="s">
        <v>33</v>
      </c>
      <c r="AC63" s="1" t="s">
        <v>33</v>
      </c>
      <c r="AD63" s="1" t="b">
        <v>0</v>
      </c>
      <c r="AE63" s="1" t="b">
        <v>0</v>
      </c>
      <c r="AF63" s="1" t="b">
        <v>1</v>
      </c>
      <c r="AG63" s="1" t="b">
        <v>0</v>
      </c>
      <c r="AH63" s="1">
        <v>0</v>
      </c>
      <c r="AI63" s="1">
        <v>0</v>
      </c>
      <c r="AJ63" s="1">
        <v>6.2831853070000001</v>
      </c>
      <c r="AK63" s="1">
        <v>0.01</v>
      </c>
      <c r="AL63" s="1" t="s">
        <v>59</v>
      </c>
      <c r="AM63" s="1" t="str">
        <f t="shared" si="0"/>
        <v>SPACL2024-01-19 10-28-33</v>
      </c>
    </row>
    <row r="64" spans="1:40" s="2" customFormat="1" x14ac:dyDescent="0.25">
      <c r="A64" s="2">
        <v>63</v>
      </c>
      <c r="B64" s="2" t="s">
        <v>40</v>
      </c>
      <c r="C64" s="2">
        <v>10</v>
      </c>
      <c r="D64" s="2">
        <v>2</v>
      </c>
      <c r="E64" s="2">
        <v>7</v>
      </c>
      <c r="F64" s="2">
        <v>190</v>
      </c>
      <c r="G64" s="2">
        <v>499</v>
      </c>
      <c r="H64" s="94">
        <v>100</v>
      </c>
      <c r="I64" s="94">
        <v>95.8333333333333</v>
      </c>
      <c r="J64" s="116">
        <v>89.8</v>
      </c>
      <c r="K64" s="314">
        <v>87.1</v>
      </c>
      <c r="L64" s="221">
        <v>93.125</v>
      </c>
      <c r="M64" s="315">
        <v>88.749999999999901</v>
      </c>
      <c r="N64" s="221">
        <v>85.9</v>
      </c>
      <c r="O64" s="221">
        <v>85.08</v>
      </c>
      <c r="P64" s="176">
        <v>500</v>
      </c>
      <c r="Q64">
        <v>10</v>
      </c>
      <c r="R64" t="s">
        <v>45</v>
      </c>
      <c r="S64" t="b">
        <v>1</v>
      </c>
      <c r="T64">
        <v>8</v>
      </c>
      <c r="U64" t="b">
        <v>0</v>
      </c>
      <c r="V64" t="s">
        <v>32</v>
      </c>
      <c r="W64" t="s">
        <v>66</v>
      </c>
      <c r="X64" t="s">
        <v>74</v>
      </c>
      <c r="Y64">
        <v>48</v>
      </c>
      <c r="Z64">
        <v>48</v>
      </c>
      <c r="AA64">
        <v>1000</v>
      </c>
      <c r="AB64" t="s">
        <v>62</v>
      </c>
      <c r="AC64" t="s">
        <v>112</v>
      </c>
      <c r="AD64" t="b">
        <v>1</v>
      </c>
      <c r="AE64" t="b">
        <v>1</v>
      </c>
      <c r="AF64" t="b">
        <v>1</v>
      </c>
      <c r="AG64" t="b">
        <v>0</v>
      </c>
      <c r="AH64">
        <v>0</v>
      </c>
      <c r="AI64">
        <v>0</v>
      </c>
      <c r="AJ64">
        <v>6.28318530717958</v>
      </c>
      <c r="AK64">
        <v>0.01</v>
      </c>
      <c r="AL64" t="s">
        <v>63</v>
      </c>
      <c r="AM64" s="2" t="str">
        <f t="shared" si="0"/>
        <v>NCL2024-01-19 17-24-32</v>
      </c>
      <c r="AN64" s="2" t="s">
        <v>84</v>
      </c>
    </row>
    <row r="65" spans="1:39" x14ac:dyDescent="0.25">
      <c r="A65">
        <v>64</v>
      </c>
      <c r="B65" t="s">
        <v>41</v>
      </c>
      <c r="C65">
        <v>10</v>
      </c>
      <c r="D65">
        <v>6</v>
      </c>
      <c r="E65">
        <v>6</v>
      </c>
      <c r="F65">
        <v>453</v>
      </c>
      <c r="G65">
        <v>499</v>
      </c>
      <c r="H65" s="117">
        <v>97.9166666666666</v>
      </c>
      <c r="I65" s="91">
        <v>95.8333333333333</v>
      </c>
      <c r="J65" s="90">
        <v>90</v>
      </c>
      <c r="K65" s="316">
        <v>90</v>
      </c>
      <c r="L65" s="317">
        <v>88.9583333333333</v>
      </c>
      <c r="M65" s="285">
        <v>86.4583333333333</v>
      </c>
      <c r="N65" s="318">
        <v>83.46</v>
      </c>
      <c r="O65" s="319">
        <v>85.27</v>
      </c>
      <c r="P65" s="176">
        <v>500</v>
      </c>
      <c r="Q65">
        <v>10</v>
      </c>
      <c r="R65" t="s">
        <v>45</v>
      </c>
      <c r="S65" t="b">
        <v>1</v>
      </c>
      <c r="T65">
        <v>8</v>
      </c>
      <c r="U65" t="b">
        <v>0</v>
      </c>
      <c r="V65" t="s">
        <v>32</v>
      </c>
      <c r="W65" t="s">
        <v>66</v>
      </c>
      <c r="X65" t="s">
        <v>74</v>
      </c>
      <c r="Y65">
        <v>48</v>
      </c>
      <c r="Z65">
        <v>48</v>
      </c>
      <c r="AA65">
        <v>1000</v>
      </c>
      <c r="AB65" t="s">
        <v>62</v>
      </c>
      <c r="AC65" t="s">
        <v>112</v>
      </c>
      <c r="AD65" t="b">
        <v>1</v>
      </c>
      <c r="AE65" t="b">
        <v>1</v>
      </c>
      <c r="AF65" t="b">
        <v>1</v>
      </c>
      <c r="AG65" t="b">
        <v>0</v>
      </c>
      <c r="AH65">
        <v>0</v>
      </c>
      <c r="AI65">
        <v>0</v>
      </c>
      <c r="AJ65">
        <v>6.28318530717958</v>
      </c>
      <c r="AK65">
        <v>0.01</v>
      </c>
      <c r="AL65" t="s">
        <v>63</v>
      </c>
      <c r="AM65" t="str">
        <f t="shared" si="0"/>
        <v>CL2024-01-19 17-24-32</v>
      </c>
    </row>
    <row r="66" spans="1:39" x14ac:dyDescent="0.25">
      <c r="A66">
        <v>65</v>
      </c>
      <c r="B66" t="s">
        <v>42</v>
      </c>
      <c r="C66">
        <v>10</v>
      </c>
      <c r="D66">
        <v>7</v>
      </c>
      <c r="E66">
        <v>7</v>
      </c>
      <c r="F66">
        <v>454</v>
      </c>
      <c r="G66">
        <v>499</v>
      </c>
      <c r="H66" s="91">
        <v>100</v>
      </c>
      <c r="I66" s="91">
        <v>95.8333333333333</v>
      </c>
      <c r="J66" s="91">
        <v>94.1</v>
      </c>
      <c r="K66" s="225">
        <v>94.7</v>
      </c>
      <c r="L66" s="320">
        <v>94.375</v>
      </c>
      <c r="M66" s="225">
        <v>90.4166666666666</v>
      </c>
      <c r="N66" s="321">
        <v>88.929999999999893</v>
      </c>
      <c r="O66" s="225">
        <v>88.85</v>
      </c>
      <c r="P66" s="176">
        <v>500</v>
      </c>
      <c r="Q66">
        <v>10</v>
      </c>
      <c r="R66" t="s">
        <v>45</v>
      </c>
      <c r="S66" t="b">
        <v>1</v>
      </c>
      <c r="T66">
        <v>8</v>
      </c>
      <c r="U66" t="b">
        <v>0</v>
      </c>
      <c r="V66" t="s">
        <v>32</v>
      </c>
      <c r="W66" t="s">
        <v>66</v>
      </c>
      <c r="X66" t="s">
        <v>74</v>
      </c>
      <c r="Y66">
        <v>48</v>
      </c>
      <c r="Z66">
        <v>48</v>
      </c>
      <c r="AA66">
        <v>1000</v>
      </c>
      <c r="AB66" t="s">
        <v>62</v>
      </c>
      <c r="AC66" t="s">
        <v>112</v>
      </c>
      <c r="AD66" t="b">
        <v>1</v>
      </c>
      <c r="AE66" t="b">
        <v>1</v>
      </c>
      <c r="AF66" t="b">
        <v>1</v>
      </c>
      <c r="AG66" t="b">
        <v>0</v>
      </c>
      <c r="AH66">
        <v>0</v>
      </c>
      <c r="AI66">
        <v>0</v>
      </c>
      <c r="AJ66">
        <v>6.28318530717958</v>
      </c>
      <c r="AK66">
        <v>0.01</v>
      </c>
      <c r="AL66" t="s">
        <v>63</v>
      </c>
      <c r="AM66" t="str">
        <f t="shared" ref="AM66:AM129" si="1">_xlfn.CONCAT(B66,AL66)</f>
        <v>ACL2024-01-19 17-24-32</v>
      </c>
    </row>
    <row r="67" spans="1:39" x14ac:dyDescent="0.25">
      <c r="A67">
        <v>66</v>
      </c>
      <c r="B67" t="s">
        <v>43</v>
      </c>
      <c r="C67">
        <v>10</v>
      </c>
      <c r="D67">
        <v>1</v>
      </c>
      <c r="E67">
        <v>1</v>
      </c>
      <c r="F67">
        <v>454</v>
      </c>
      <c r="G67">
        <v>499</v>
      </c>
      <c r="H67" s="98">
        <v>95.8333333333333</v>
      </c>
      <c r="I67" s="92">
        <v>93.75</v>
      </c>
      <c r="J67" s="92">
        <v>86.1</v>
      </c>
      <c r="K67" s="223">
        <v>85.4</v>
      </c>
      <c r="L67" s="223">
        <v>87.7083333333333</v>
      </c>
      <c r="M67" s="222">
        <v>86.874999999999901</v>
      </c>
      <c r="N67" s="223">
        <v>83.42</v>
      </c>
      <c r="O67" s="223">
        <v>84.53</v>
      </c>
      <c r="P67" s="176">
        <v>500</v>
      </c>
      <c r="Q67">
        <v>10</v>
      </c>
      <c r="R67" t="s">
        <v>45</v>
      </c>
      <c r="S67" t="b">
        <v>1</v>
      </c>
      <c r="T67">
        <v>8</v>
      </c>
      <c r="U67" t="b">
        <v>0</v>
      </c>
      <c r="V67" t="s">
        <v>32</v>
      </c>
      <c r="W67" t="s">
        <v>66</v>
      </c>
      <c r="X67" t="s">
        <v>74</v>
      </c>
      <c r="Y67">
        <v>48</v>
      </c>
      <c r="Z67">
        <v>48</v>
      </c>
      <c r="AA67">
        <v>1000</v>
      </c>
      <c r="AB67" t="s">
        <v>62</v>
      </c>
      <c r="AC67" t="s">
        <v>112</v>
      </c>
      <c r="AD67" t="b">
        <v>1</v>
      </c>
      <c r="AE67" t="b">
        <v>1</v>
      </c>
      <c r="AF67" t="b">
        <v>1</v>
      </c>
      <c r="AG67" t="b">
        <v>0</v>
      </c>
      <c r="AH67">
        <v>0</v>
      </c>
      <c r="AI67">
        <v>0</v>
      </c>
      <c r="AJ67">
        <v>6.28318530717958</v>
      </c>
      <c r="AK67">
        <v>0.01</v>
      </c>
      <c r="AL67" t="s">
        <v>63</v>
      </c>
      <c r="AM67" t="str">
        <f t="shared" si="1"/>
        <v>SPCL2024-01-19 17-24-32</v>
      </c>
    </row>
    <row r="68" spans="1:39" s="1" customFormat="1" x14ac:dyDescent="0.25">
      <c r="A68">
        <v>67</v>
      </c>
      <c r="B68" s="1" t="s">
        <v>44</v>
      </c>
      <c r="C68" s="1">
        <v>10</v>
      </c>
      <c r="D68" s="1">
        <v>1</v>
      </c>
      <c r="E68" s="1">
        <v>1</v>
      </c>
      <c r="F68" s="1">
        <v>50</v>
      </c>
      <c r="G68" s="1">
        <v>499</v>
      </c>
      <c r="H68" s="93">
        <v>100</v>
      </c>
      <c r="I68" s="95">
        <v>93.75</v>
      </c>
      <c r="J68" s="119">
        <v>92.7</v>
      </c>
      <c r="K68" s="226">
        <v>89.8</v>
      </c>
      <c r="L68" s="224">
        <v>98.5416666666666</v>
      </c>
      <c r="M68" s="228">
        <v>86.249999999999901</v>
      </c>
      <c r="N68" s="224">
        <v>92.65</v>
      </c>
      <c r="O68" s="322">
        <v>84.72</v>
      </c>
      <c r="P68" s="178">
        <v>500</v>
      </c>
      <c r="Q68" s="1">
        <v>10</v>
      </c>
      <c r="R68" s="1" t="s">
        <v>45</v>
      </c>
      <c r="S68" s="1" t="b">
        <v>1</v>
      </c>
      <c r="T68" s="1">
        <v>8</v>
      </c>
      <c r="U68" s="1" t="b">
        <v>0</v>
      </c>
      <c r="V68" s="1" t="s">
        <v>32</v>
      </c>
      <c r="W68" s="1" t="s">
        <v>66</v>
      </c>
      <c r="X68" s="1" t="s">
        <v>74</v>
      </c>
      <c r="Y68" s="1">
        <v>48</v>
      </c>
      <c r="Z68" s="1">
        <v>48</v>
      </c>
      <c r="AA68" s="1">
        <v>1000</v>
      </c>
      <c r="AB68" s="1" t="s">
        <v>62</v>
      </c>
      <c r="AC68" s="1" t="s">
        <v>112</v>
      </c>
      <c r="AD68" s="1" t="b">
        <v>1</v>
      </c>
      <c r="AE68" s="1" t="b">
        <v>1</v>
      </c>
      <c r="AF68" s="1" t="b">
        <v>1</v>
      </c>
      <c r="AG68" s="1" t="b">
        <v>0</v>
      </c>
      <c r="AH68" s="1">
        <v>0</v>
      </c>
      <c r="AI68" s="1">
        <v>0</v>
      </c>
      <c r="AJ68" s="1">
        <v>6.28318530717958</v>
      </c>
      <c r="AK68" s="1">
        <v>0.01</v>
      </c>
      <c r="AL68" s="1" t="s">
        <v>63</v>
      </c>
      <c r="AM68" s="1" t="str">
        <f t="shared" si="1"/>
        <v>SPACL2024-01-19 17-24-32</v>
      </c>
    </row>
    <row r="69" spans="1:39" s="2" customFormat="1" x14ac:dyDescent="0.25">
      <c r="A69" s="2">
        <v>68</v>
      </c>
      <c r="B69" s="2" t="s">
        <v>40</v>
      </c>
      <c r="C69" s="2">
        <v>10</v>
      </c>
      <c r="D69" s="2">
        <v>3</v>
      </c>
      <c r="E69" s="2">
        <v>3</v>
      </c>
      <c r="F69" s="2">
        <v>433</v>
      </c>
      <c r="G69" s="2">
        <v>499</v>
      </c>
      <c r="H69" s="94">
        <v>100</v>
      </c>
      <c r="I69" s="94">
        <v>97.916666669999998</v>
      </c>
      <c r="J69" s="120">
        <v>92.2</v>
      </c>
      <c r="K69" s="227">
        <v>91</v>
      </c>
      <c r="L69" s="221">
        <v>96.25</v>
      </c>
      <c r="M69" s="227">
        <v>95.416666669999998</v>
      </c>
      <c r="N69" s="323">
        <v>87.21</v>
      </c>
      <c r="O69" s="227">
        <v>88.84</v>
      </c>
      <c r="P69" s="176">
        <v>500</v>
      </c>
      <c r="Q69">
        <v>10</v>
      </c>
      <c r="R69" t="s">
        <v>45</v>
      </c>
      <c r="S69" t="b">
        <v>1</v>
      </c>
      <c r="T69">
        <v>8</v>
      </c>
      <c r="U69" t="b">
        <v>0</v>
      </c>
      <c r="V69" t="s">
        <v>32</v>
      </c>
      <c r="W69" t="s">
        <v>64</v>
      </c>
      <c r="X69" t="s">
        <v>74</v>
      </c>
      <c r="Y69">
        <v>48</v>
      </c>
      <c r="Z69">
        <v>48</v>
      </c>
      <c r="AA69">
        <v>1000</v>
      </c>
      <c r="AB69" t="s">
        <v>62</v>
      </c>
      <c r="AC69" t="s">
        <v>112</v>
      </c>
      <c r="AD69" t="b">
        <v>1</v>
      </c>
      <c r="AE69" t="b">
        <v>1</v>
      </c>
      <c r="AF69" t="b">
        <v>1</v>
      </c>
      <c r="AG69" t="b">
        <v>0</v>
      </c>
      <c r="AH69">
        <v>0</v>
      </c>
      <c r="AI69">
        <v>0</v>
      </c>
      <c r="AJ69">
        <v>6.28318530717958</v>
      </c>
      <c r="AK69">
        <v>0.01</v>
      </c>
      <c r="AL69" t="s">
        <v>65</v>
      </c>
      <c r="AM69" s="2" t="str">
        <f t="shared" si="1"/>
        <v>NCL2024-01-19 17-59-52</v>
      </c>
    </row>
    <row r="70" spans="1:39" x14ac:dyDescent="0.25">
      <c r="A70">
        <v>69</v>
      </c>
      <c r="B70" t="s">
        <v>41</v>
      </c>
      <c r="C70">
        <v>10</v>
      </c>
      <c r="D70">
        <v>2</v>
      </c>
      <c r="E70">
        <v>2</v>
      </c>
      <c r="F70">
        <v>258</v>
      </c>
      <c r="G70">
        <v>499</v>
      </c>
      <c r="H70" s="98">
        <v>95.833333330000002</v>
      </c>
      <c r="I70" s="90">
        <v>95.833333330000002</v>
      </c>
      <c r="J70" s="92">
        <v>85.4</v>
      </c>
      <c r="K70" s="324">
        <v>90.6</v>
      </c>
      <c r="L70" s="223">
        <v>94.166666669999998</v>
      </c>
      <c r="M70" s="223">
        <v>92.708333330000002</v>
      </c>
      <c r="N70" s="223">
        <v>84.63</v>
      </c>
      <c r="O70" s="223">
        <v>86.68</v>
      </c>
      <c r="P70" s="176">
        <v>500</v>
      </c>
      <c r="Q70">
        <v>10</v>
      </c>
      <c r="R70" t="s">
        <v>45</v>
      </c>
      <c r="S70" t="b">
        <v>1</v>
      </c>
      <c r="T70">
        <v>8</v>
      </c>
      <c r="U70" t="b">
        <v>0</v>
      </c>
      <c r="V70" t="s">
        <v>32</v>
      </c>
      <c r="W70" t="s">
        <v>64</v>
      </c>
      <c r="X70" t="s">
        <v>74</v>
      </c>
      <c r="Y70">
        <v>48</v>
      </c>
      <c r="Z70">
        <v>48</v>
      </c>
      <c r="AA70">
        <v>1000</v>
      </c>
      <c r="AB70" t="s">
        <v>62</v>
      </c>
      <c r="AC70" t="s">
        <v>112</v>
      </c>
      <c r="AD70" t="b">
        <v>1</v>
      </c>
      <c r="AE70" t="b">
        <v>1</v>
      </c>
      <c r="AF70" t="b">
        <v>1</v>
      </c>
      <c r="AG70" t="b">
        <v>0</v>
      </c>
      <c r="AH70">
        <v>0</v>
      </c>
      <c r="AI70">
        <v>0</v>
      </c>
      <c r="AJ70">
        <v>6.28318530717958</v>
      </c>
      <c r="AK70">
        <v>0.01</v>
      </c>
      <c r="AL70" t="s">
        <v>65</v>
      </c>
      <c r="AM70" t="str">
        <f t="shared" si="1"/>
        <v>CL2024-01-19 17-59-52</v>
      </c>
    </row>
    <row r="71" spans="1:39" x14ac:dyDescent="0.25">
      <c r="A71">
        <v>70</v>
      </c>
      <c r="B71" t="s">
        <v>42</v>
      </c>
      <c r="C71">
        <v>10</v>
      </c>
      <c r="D71">
        <v>1</v>
      </c>
      <c r="E71">
        <v>0</v>
      </c>
      <c r="F71">
        <v>316</v>
      </c>
      <c r="G71">
        <v>499</v>
      </c>
      <c r="H71" s="91">
        <v>100</v>
      </c>
      <c r="I71" s="92">
        <v>91.666666669999998</v>
      </c>
      <c r="J71" s="166">
        <v>86.8</v>
      </c>
      <c r="K71" s="223">
        <v>85</v>
      </c>
      <c r="L71" s="320">
        <v>97.083333330000002</v>
      </c>
      <c r="M71" s="325">
        <v>94.791666669999998</v>
      </c>
      <c r="N71" s="326">
        <v>88.26</v>
      </c>
      <c r="O71" s="222">
        <v>87.9</v>
      </c>
      <c r="P71" s="176">
        <v>500</v>
      </c>
      <c r="Q71">
        <v>10</v>
      </c>
      <c r="R71" t="s">
        <v>45</v>
      </c>
      <c r="S71" t="b">
        <v>1</v>
      </c>
      <c r="T71">
        <v>8</v>
      </c>
      <c r="U71" t="b">
        <v>0</v>
      </c>
      <c r="V71" t="s">
        <v>32</v>
      </c>
      <c r="W71" t="s">
        <v>64</v>
      </c>
      <c r="X71" t="s">
        <v>74</v>
      </c>
      <c r="Y71">
        <v>48</v>
      </c>
      <c r="Z71">
        <v>48</v>
      </c>
      <c r="AA71">
        <v>1000</v>
      </c>
      <c r="AB71" t="s">
        <v>62</v>
      </c>
      <c r="AC71" t="s">
        <v>112</v>
      </c>
      <c r="AD71" t="b">
        <v>1</v>
      </c>
      <c r="AE71" t="b">
        <v>1</v>
      </c>
      <c r="AF71" t="b">
        <v>1</v>
      </c>
      <c r="AG71" t="b">
        <v>0</v>
      </c>
      <c r="AH71">
        <v>0</v>
      </c>
      <c r="AI71">
        <v>0</v>
      </c>
      <c r="AJ71">
        <v>6.28318530717958</v>
      </c>
      <c r="AK71">
        <v>0.01</v>
      </c>
      <c r="AL71" t="s">
        <v>65</v>
      </c>
      <c r="AM71" t="str">
        <f t="shared" si="1"/>
        <v>ACL2024-01-19 17-59-52</v>
      </c>
    </row>
    <row r="72" spans="1:39" x14ac:dyDescent="0.25">
      <c r="A72">
        <v>71</v>
      </c>
      <c r="B72" t="s">
        <v>43</v>
      </c>
      <c r="C72">
        <v>10</v>
      </c>
      <c r="D72">
        <v>0</v>
      </c>
      <c r="E72">
        <v>0</v>
      </c>
      <c r="F72">
        <v>483</v>
      </c>
      <c r="G72">
        <v>499</v>
      </c>
      <c r="H72" s="90">
        <v>97.916666669999998</v>
      </c>
      <c r="I72" s="90">
        <v>95.833333330000002</v>
      </c>
      <c r="J72" s="90">
        <v>90.6</v>
      </c>
      <c r="K72" s="222">
        <v>90.3</v>
      </c>
      <c r="L72" s="327">
        <v>94.375</v>
      </c>
      <c r="M72" s="222">
        <v>93.75</v>
      </c>
      <c r="N72" s="222">
        <v>87.22</v>
      </c>
      <c r="O72" s="328">
        <v>88.01</v>
      </c>
      <c r="P72" s="176">
        <v>500</v>
      </c>
      <c r="Q72">
        <v>10</v>
      </c>
      <c r="R72" t="s">
        <v>45</v>
      </c>
      <c r="S72" t="b">
        <v>1</v>
      </c>
      <c r="T72">
        <v>8</v>
      </c>
      <c r="U72" t="b">
        <v>0</v>
      </c>
      <c r="V72" t="s">
        <v>32</v>
      </c>
      <c r="W72" t="s">
        <v>64</v>
      </c>
      <c r="X72" t="s">
        <v>74</v>
      </c>
      <c r="Y72">
        <v>48</v>
      </c>
      <c r="Z72">
        <v>48</v>
      </c>
      <c r="AA72">
        <v>1000</v>
      </c>
      <c r="AB72" t="s">
        <v>62</v>
      </c>
      <c r="AC72" t="s">
        <v>112</v>
      </c>
      <c r="AD72" t="b">
        <v>1</v>
      </c>
      <c r="AE72" t="b">
        <v>1</v>
      </c>
      <c r="AF72" t="b">
        <v>1</v>
      </c>
      <c r="AG72" t="b">
        <v>0</v>
      </c>
      <c r="AH72">
        <v>0</v>
      </c>
      <c r="AI72">
        <v>0</v>
      </c>
      <c r="AJ72">
        <v>6.28318530717958</v>
      </c>
      <c r="AK72">
        <v>0.01</v>
      </c>
      <c r="AL72" t="s">
        <v>65</v>
      </c>
      <c r="AM72" t="str">
        <f t="shared" si="1"/>
        <v>SPCL2024-01-19 17-59-52</v>
      </c>
    </row>
    <row r="73" spans="1:39" s="1" customFormat="1" x14ac:dyDescent="0.25">
      <c r="A73">
        <v>72</v>
      </c>
      <c r="B73" s="1" t="s">
        <v>44</v>
      </c>
      <c r="C73" s="1">
        <v>10</v>
      </c>
      <c r="D73" s="1">
        <v>0</v>
      </c>
      <c r="E73" s="1">
        <v>2</v>
      </c>
      <c r="F73" s="1">
        <v>83</v>
      </c>
      <c r="G73" s="1">
        <v>499</v>
      </c>
      <c r="H73" s="93">
        <v>100</v>
      </c>
      <c r="I73" s="96">
        <v>95.833333330000002</v>
      </c>
      <c r="J73" s="93">
        <v>92.8</v>
      </c>
      <c r="K73" s="329">
        <v>87.7</v>
      </c>
      <c r="L73" s="224">
        <v>99.791666669999998</v>
      </c>
      <c r="M73" s="330">
        <v>93.541666669999998</v>
      </c>
      <c r="N73" s="224">
        <v>91.6</v>
      </c>
      <c r="O73" s="331">
        <v>87.21</v>
      </c>
      <c r="P73" s="178">
        <v>500</v>
      </c>
      <c r="Q73" s="1">
        <v>10</v>
      </c>
      <c r="R73" s="1" t="s">
        <v>45</v>
      </c>
      <c r="S73" s="1" t="b">
        <v>1</v>
      </c>
      <c r="T73" s="1">
        <v>8</v>
      </c>
      <c r="U73" s="1" t="b">
        <v>0</v>
      </c>
      <c r="V73" s="1" t="s">
        <v>32</v>
      </c>
      <c r="W73" s="1" t="s">
        <v>64</v>
      </c>
      <c r="X73" s="1" t="s">
        <v>74</v>
      </c>
      <c r="Y73" s="1">
        <v>48</v>
      </c>
      <c r="Z73" s="1">
        <v>48</v>
      </c>
      <c r="AA73" s="1">
        <v>1000</v>
      </c>
      <c r="AB73" s="1" t="s">
        <v>62</v>
      </c>
      <c r="AC73" s="1" t="s">
        <v>112</v>
      </c>
      <c r="AD73" s="1" t="b">
        <v>1</v>
      </c>
      <c r="AE73" s="1" t="b">
        <v>1</v>
      </c>
      <c r="AF73" s="1" t="b">
        <v>1</v>
      </c>
      <c r="AG73" s="1" t="b">
        <v>0</v>
      </c>
      <c r="AH73" s="1">
        <v>0</v>
      </c>
      <c r="AI73" s="1">
        <v>0</v>
      </c>
      <c r="AJ73" s="1">
        <v>6.28318530717958</v>
      </c>
      <c r="AK73" s="1">
        <v>0.01</v>
      </c>
      <c r="AL73" s="1" t="s">
        <v>65</v>
      </c>
      <c r="AM73" s="1" t="str">
        <f t="shared" si="1"/>
        <v>SPACL2024-01-19 17-59-52</v>
      </c>
    </row>
    <row r="74" spans="1:39" s="2" customFormat="1" x14ac:dyDescent="0.25">
      <c r="A74" s="2">
        <v>73</v>
      </c>
      <c r="B74" s="2" t="s">
        <v>40</v>
      </c>
      <c r="C74" s="2">
        <v>10</v>
      </c>
      <c r="D74" s="2">
        <v>3</v>
      </c>
      <c r="E74" s="2">
        <v>1</v>
      </c>
      <c r="F74" s="2">
        <v>59</v>
      </c>
      <c r="G74" s="2">
        <v>499</v>
      </c>
      <c r="H74" s="89">
        <v>97.916666669999998</v>
      </c>
      <c r="I74" s="89">
        <v>93.75</v>
      </c>
      <c r="J74" s="121">
        <v>89.4</v>
      </c>
      <c r="K74" s="221">
        <v>89</v>
      </c>
      <c r="L74" s="307">
        <v>92.916666669999998</v>
      </c>
      <c r="M74" s="227">
        <v>90.416666669999998</v>
      </c>
      <c r="N74" s="221">
        <v>85.92</v>
      </c>
      <c r="O74" s="227">
        <v>86.54</v>
      </c>
      <c r="P74" s="177">
        <v>500</v>
      </c>
      <c r="Q74" s="2">
        <v>10</v>
      </c>
      <c r="R74" s="2" t="s">
        <v>45</v>
      </c>
      <c r="S74" s="2" t="b">
        <v>1</v>
      </c>
      <c r="T74" s="2">
        <v>8</v>
      </c>
      <c r="U74" s="2" t="b">
        <v>0</v>
      </c>
      <c r="V74" s="2" t="s">
        <v>32</v>
      </c>
      <c r="W74" s="2" t="s">
        <v>66</v>
      </c>
      <c r="X74" s="2" t="s">
        <v>74</v>
      </c>
      <c r="Y74" s="2">
        <v>48</v>
      </c>
      <c r="Z74" s="2">
        <v>48</v>
      </c>
      <c r="AA74" s="2">
        <v>1000</v>
      </c>
      <c r="AB74" s="2" t="s">
        <v>62</v>
      </c>
      <c r="AC74" s="2" t="s">
        <v>112</v>
      </c>
      <c r="AD74" s="2" t="b">
        <v>0</v>
      </c>
      <c r="AE74" s="2" t="b">
        <v>0</v>
      </c>
      <c r="AF74" s="2" t="b">
        <v>1</v>
      </c>
      <c r="AG74" s="2" t="b">
        <v>0</v>
      </c>
      <c r="AH74" s="2">
        <v>0</v>
      </c>
      <c r="AI74" s="2">
        <v>0</v>
      </c>
      <c r="AJ74" s="2">
        <v>6.2831853070000001</v>
      </c>
      <c r="AK74" s="2">
        <v>0.01</v>
      </c>
      <c r="AL74" s="2" t="s">
        <v>67</v>
      </c>
      <c r="AM74" s="2" t="str">
        <f t="shared" si="1"/>
        <v>NCL2024-01-19 18-15-11</v>
      </c>
    </row>
    <row r="75" spans="1:39" x14ac:dyDescent="0.25">
      <c r="A75">
        <v>74</v>
      </c>
      <c r="B75" t="s">
        <v>41</v>
      </c>
      <c r="C75">
        <v>10</v>
      </c>
      <c r="D75">
        <v>5</v>
      </c>
      <c r="E75">
        <v>5</v>
      </c>
      <c r="F75">
        <v>470</v>
      </c>
      <c r="G75">
        <v>499</v>
      </c>
      <c r="H75" s="98">
        <v>95.833333330000002</v>
      </c>
      <c r="I75" s="91">
        <v>95.833333330000002</v>
      </c>
      <c r="J75" s="90">
        <v>90</v>
      </c>
      <c r="K75" s="332">
        <v>90.6</v>
      </c>
      <c r="L75" s="223">
        <v>85.208333330000002</v>
      </c>
      <c r="M75" s="333">
        <v>83.958333330000002</v>
      </c>
      <c r="N75" s="223">
        <v>79.239999999999995</v>
      </c>
      <c r="O75" s="223">
        <v>80.400000000000006</v>
      </c>
      <c r="P75" s="176">
        <v>500</v>
      </c>
      <c r="Q75">
        <v>10</v>
      </c>
      <c r="R75" t="s">
        <v>45</v>
      </c>
      <c r="S75" t="b">
        <v>1</v>
      </c>
      <c r="T75">
        <v>8</v>
      </c>
      <c r="U75" t="b">
        <v>0</v>
      </c>
      <c r="V75" t="s">
        <v>32</v>
      </c>
      <c r="W75" t="s">
        <v>66</v>
      </c>
      <c r="X75" t="s">
        <v>74</v>
      </c>
      <c r="Y75">
        <v>48</v>
      </c>
      <c r="Z75">
        <v>48</v>
      </c>
      <c r="AA75">
        <v>1000</v>
      </c>
      <c r="AB75" t="s">
        <v>62</v>
      </c>
      <c r="AC75" t="s">
        <v>112</v>
      </c>
      <c r="AD75" t="b">
        <v>0</v>
      </c>
      <c r="AE75" t="b">
        <v>0</v>
      </c>
      <c r="AF75" t="b">
        <v>1</v>
      </c>
      <c r="AG75" t="b">
        <v>0</v>
      </c>
      <c r="AH75">
        <v>0</v>
      </c>
      <c r="AI75">
        <v>0</v>
      </c>
      <c r="AJ75">
        <v>6.2831853070000001</v>
      </c>
      <c r="AK75">
        <v>0.01</v>
      </c>
      <c r="AL75" t="s">
        <v>67</v>
      </c>
      <c r="AM75" t="str">
        <f t="shared" si="1"/>
        <v>CL2024-01-19 18-15-11</v>
      </c>
    </row>
    <row r="76" spans="1:39" x14ac:dyDescent="0.25">
      <c r="A76">
        <v>75</v>
      </c>
      <c r="B76" t="s">
        <v>42</v>
      </c>
      <c r="C76">
        <v>10</v>
      </c>
      <c r="D76">
        <v>6</v>
      </c>
      <c r="E76">
        <v>6</v>
      </c>
      <c r="F76">
        <v>350</v>
      </c>
      <c r="G76">
        <v>499</v>
      </c>
      <c r="H76" s="91">
        <v>100</v>
      </c>
      <c r="I76" s="91">
        <v>95.833333330000002</v>
      </c>
      <c r="J76" s="122">
        <v>91.6</v>
      </c>
      <c r="K76" s="225">
        <v>91.1</v>
      </c>
      <c r="L76" s="222">
        <v>92.708333330000002</v>
      </c>
      <c r="M76" s="334">
        <v>86.041666669999998</v>
      </c>
      <c r="N76" s="335">
        <v>86.42</v>
      </c>
      <c r="O76" s="326">
        <v>83.08</v>
      </c>
      <c r="P76" s="176">
        <v>500</v>
      </c>
      <c r="Q76">
        <v>10</v>
      </c>
      <c r="R76" t="s">
        <v>45</v>
      </c>
      <c r="S76" t="b">
        <v>1</v>
      </c>
      <c r="T76">
        <v>8</v>
      </c>
      <c r="U76" t="b">
        <v>0</v>
      </c>
      <c r="V76" t="s">
        <v>32</v>
      </c>
      <c r="W76" t="s">
        <v>66</v>
      </c>
      <c r="X76" t="s">
        <v>74</v>
      </c>
      <c r="Y76">
        <v>48</v>
      </c>
      <c r="Z76">
        <v>48</v>
      </c>
      <c r="AA76">
        <v>1000</v>
      </c>
      <c r="AB76" t="s">
        <v>62</v>
      </c>
      <c r="AC76" t="s">
        <v>112</v>
      </c>
      <c r="AD76" t="b">
        <v>0</v>
      </c>
      <c r="AE76" t="b">
        <v>0</v>
      </c>
      <c r="AF76" t="b">
        <v>1</v>
      </c>
      <c r="AG76" t="b">
        <v>0</v>
      </c>
      <c r="AH76">
        <v>0</v>
      </c>
      <c r="AI76">
        <v>0</v>
      </c>
      <c r="AJ76">
        <v>6.2831853070000001</v>
      </c>
      <c r="AK76">
        <v>0.01</v>
      </c>
      <c r="AL76" t="s">
        <v>67</v>
      </c>
      <c r="AM76" t="str">
        <f t="shared" si="1"/>
        <v>ACL2024-01-19 18-15-11</v>
      </c>
    </row>
    <row r="77" spans="1:39" x14ac:dyDescent="0.25">
      <c r="A77">
        <v>76</v>
      </c>
      <c r="B77" t="s">
        <v>43</v>
      </c>
      <c r="C77">
        <v>10</v>
      </c>
      <c r="D77">
        <v>5</v>
      </c>
      <c r="E77">
        <v>6</v>
      </c>
      <c r="F77">
        <v>358</v>
      </c>
      <c r="G77">
        <v>499</v>
      </c>
      <c r="H77" s="103">
        <v>93.75</v>
      </c>
      <c r="I77" s="150">
        <v>87.5</v>
      </c>
      <c r="J77" s="92">
        <v>85.2</v>
      </c>
      <c r="K77" s="336">
        <v>86.3</v>
      </c>
      <c r="L77" s="337">
        <v>86.041666669999998</v>
      </c>
      <c r="M77" s="222">
        <v>84.791666669999998</v>
      </c>
      <c r="N77" s="338">
        <v>80.94</v>
      </c>
      <c r="O77" s="222">
        <v>81.99</v>
      </c>
      <c r="P77" s="176">
        <v>500</v>
      </c>
      <c r="Q77">
        <v>10</v>
      </c>
      <c r="R77" t="s">
        <v>45</v>
      </c>
      <c r="S77" t="b">
        <v>1</v>
      </c>
      <c r="T77">
        <v>8</v>
      </c>
      <c r="U77" t="b">
        <v>0</v>
      </c>
      <c r="V77" t="s">
        <v>32</v>
      </c>
      <c r="W77" t="s">
        <v>66</v>
      </c>
      <c r="X77" t="s">
        <v>74</v>
      </c>
      <c r="Y77">
        <v>48</v>
      </c>
      <c r="Z77">
        <v>48</v>
      </c>
      <c r="AA77">
        <v>1000</v>
      </c>
      <c r="AB77" t="s">
        <v>62</v>
      </c>
      <c r="AC77" t="s">
        <v>112</v>
      </c>
      <c r="AD77" t="b">
        <v>0</v>
      </c>
      <c r="AE77" t="b">
        <v>0</v>
      </c>
      <c r="AF77" t="b">
        <v>1</v>
      </c>
      <c r="AG77" t="b">
        <v>0</v>
      </c>
      <c r="AH77">
        <v>0</v>
      </c>
      <c r="AI77">
        <v>0</v>
      </c>
      <c r="AJ77">
        <v>6.2831853070000001</v>
      </c>
      <c r="AK77">
        <v>0.01</v>
      </c>
      <c r="AL77" t="s">
        <v>67</v>
      </c>
      <c r="AM77" t="str">
        <f t="shared" si="1"/>
        <v>SPCL2024-01-19 18-15-11</v>
      </c>
    </row>
    <row r="78" spans="1:39" s="1" customFormat="1" x14ac:dyDescent="0.25">
      <c r="A78">
        <v>77</v>
      </c>
      <c r="B78" s="1" t="s">
        <v>44</v>
      </c>
      <c r="C78" s="1">
        <v>10</v>
      </c>
      <c r="D78" s="1">
        <v>0</v>
      </c>
      <c r="E78" s="1">
        <v>1</v>
      </c>
      <c r="F78" s="1">
        <v>80</v>
      </c>
      <c r="G78" s="1">
        <v>499</v>
      </c>
      <c r="H78" s="93">
        <v>100</v>
      </c>
      <c r="I78" s="95">
        <v>83.333333330000002</v>
      </c>
      <c r="J78" s="93">
        <v>93.6</v>
      </c>
      <c r="K78" s="228">
        <v>79</v>
      </c>
      <c r="L78" s="224">
        <v>99.583333330000002</v>
      </c>
      <c r="M78" s="228">
        <v>83.75</v>
      </c>
      <c r="N78" s="224">
        <v>89.93</v>
      </c>
      <c r="O78" s="339">
        <v>81.31</v>
      </c>
      <c r="P78" s="178">
        <v>500</v>
      </c>
      <c r="Q78" s="1">
        <v>10</v>
      </c>
      <c r="R78" s="1" t="s">
        <v>45</v>
      </c>
      <c r="S78" s="1" t="b">
        <v>1</v>
      </c>
      <c r="T78" s="1">
        <v>8</v>
      </c>
      <c r="U78" s="1" t="b">
        <v>0</v>
      </c>
      <c r="V78" s="1" t="s">
        <v>32</v>
      </c>
      <c r="W78" s="1" t="s">
        <v>66</v>
      </c>
      <c r="X78" s="1" t="s">
        <v>74</v>
      </c>
      <c r="Y78" s="1">
        <v>48</v>
      </c>
      <c r="Z78" s="1">
        <v>48</v>
      </c>
      <c r="AA78" s="1">
        <v>1000</v>
      </c>
      <c r="AB78" s="1" t="s">
        <v>62</v>
      </c>
      <c r="AC78" s="1" t="s">
        <v>112</v>
      </c>
      <c r="AD78" s="1" t="b">
        <v>0</v>
      </c>
      <c r="AE78" s="1" t="b">
        <v>0</v>
      </c>
      <c r="AF78" s="1" t="b">
        <v>1</v>
      </c>
      <c r="AG78" s="1" t="b">
        <v>0</v>
      </c>
      <c r="AH78" s="1">
        <v>0</v>
      </c>
      <c r="AI78" s="1">
        <v>0</v>
      </c>
      <c r="AJ78" s="1">
        <v>6.2831853070000001</v>
      </c>
      <c r="AK78" s="1">
        <v>0.01</v>
      </c>
      <c r="AL78" s="1" t="s">
        <v>67</v>
      </c>
      <c r="AM78" s="1" t="str">
        <f t="shared" si="1"/>
        <v>SPACL2024-01-19 18-15-11</v>
      </c>
    </row>
    <row r="79" spans="1:39" s="2" customFormat="1" x14ac:dyDescent="0.25">
      <c r="A79" s="2">
        <v>78</v>
      </c>
      <c r="B79" s="2" t="s">
        <v>40</v>
      </c>
      <c r="C79" s="2">
        <v>10</v>
      </c>
      <c r="D79" s="2">
        <v>0</v>
      </c>
      <c r="E79" s="2">
        <v>9</v>
      </c>
      <c r="F79" s="2">
        <v>277</v>
      </c>
      <c r="G79" s="2">
        <v>499</v>
      </c>
      <c r="H79" s="124">
        <v>93.75</v>
      </c>
      <c r="I79" s="94">
        <v>91.666666669999998</v>
      </c>
      <c r="J79" s="125">
        <v>85.1</v>
      </c>
      <c r="K79" s="227">
        <v>89.2</v>
      </c>
      <c r="L79" s="221">
        <v>88.333333330000002</v>
      </c>
      <c r="M79" s="227">
        <v>86.041666669999998</v>
      </c>
      <c r="N79" s="221">
        <v>83.17</v>
      </c>
      <c r="O79" s="227">
        <v>84.12</v>
      </c>
      <c r="P79" s="176">
        <v>500</v>
      </c>
      <c r="Q79">
        <v>10</v>
      </c>
      <c r="R79" t="s">
        <v>45</v>
      </c>
      <c r="S79" t="b">
        <v>1</v>
      </c>
      <c r="T79">
        <v>8</v>
      </c>
      <c r="U79" t="b">
        <v>0</v>
      </c>
      <c r="V79" t="s">
        <v>32</v>
      </c>
      <c r="W79" t="s">
        <v>64</v>
      </c>
      <c r="X79" t="s">
        <v>74</v>
      </c>
      <c r="Y79">
        <v>48</v>
      </c>
      <c r="Z79">
        <v>48</v>
      </c>
      <c r="AA79">
        <v>1000</v>
      </c>
      <c r="AB79" t="s">
        <v>62</v>
      </c>
      <c r="AC79" t="s">
        <v>112</v>
      </c>
      <c r="AD79" t="b">
        <v>0</v>
      </c>
      <c r="AE79" t="b">
        <v>0</v>
      </c>
      <c r="AF79" t="b">
        <v>1</v>
      </c>
      <c r="AG79" t="b">
        <v>0</v>
      </c>
      <c r="AH79">
        <v>0</v>
      </c>
      <c r="AI79">
        <v>0</v>
      </c>
      <c r="AJ79">
        <v>6.28318530717958</v>
      </c>
      <c r="AK79">
        <v>0.01</v>
      </c>
      <c r="AL79" t="s">
        <v>68</v>
      </c>
      <c r="AM79" s="2" t="str">
        <f t="shared" si="1"/>
        <v>NCL2024-01-19 19-06-13</v>
      </c>
    </row>
    <row r="80" spans="1:39" x14ac:dyDescent="0.25">
      <c r="A80">
        <v>79</v>
      </c>
      <c r="B80" t="s">
        <v>41</v>
      </c>
      <c r="C80">
        <v>10</v>
      </c>
      <c r="D80">
        <v>8</v>
      </c>
      <c r="E80">
        <v>8</v>
      </c>
      <c r="F80">
        <v>498</v>
      </c>
      <c r="G80">
        <v>499</v>
      </c>
      <c r="H80" s="92">
        <v>91.666666669999998</v>
      </c>
      <c r="I80" s="91">
        <v>91.666666669999998</v>
      </c>
      <c r="J80" s="92">
        <v>83.7</v>
      </c>
      <c r="K80" s="340">
        <v>83.7</v>
      </c>
      <c r="L80" s="223">
        <v>83.75</v>
      </c>
      <c r="M80" s="341">
        <v>83.541666669999998</v>
      </c>
      <c r="N80" s="223">
        <v>79.73</v>
      </c>
      <c r="O80" s="342">
        <v>81.569999999999993</v>
      </c>
      <c r="P80" s="176">
        <v>500</v>
      </c>
      <c r="Q80">
        <v>10</v>
      </c>
      <c r="R80" t="s">
        <v>45</v>
      </c>
      <c r="S80" t="b">
        <v>1</v>
      </c>
      <c r="T80">
        <v>8</v>
      </c>
      <c r="U80" t="b">
        <v>0</v>
      </c>
      <c r="V80" t="s">
        <v>32</v>
      </c>
      <c r="W80" t="s">
        <v>64</v>
      </c>
      <c r="X80" t="s">
        <v>74</v>
      </c>
      <c r="Y80">
        <v>48</v>
      </c>
      <c r="Z80">
        <v>48</v>
      </c>
      <c r="AA80">
        <v>1000</v>
      </c>
      <c r="AB80" t="s">
        <v>62</v>
      </c>
      <c r="AC80" t="s">
        <v>112</v>
      </c>
      <c r="AD80" t="b">
        <v>0</v>
      </c>
      <c r="AE80" t="b">
        <v>0</v>
      </c>
      <c r="AF80" t="b">
        <v>1</v>
      </c>
      <c r="AG80" t="b">
        <v>0</v>
      </c>
      <c r="AH80">
        <v>0</v>
      </c>
      <c r="AI80">
        <v>0</v>
      </c>
      <c r="AJ80">
        <v>6.28318530717958</v>
      </c>
      <c r="AK80">
        <v>0.01</v>
      </c>
      <c r="AL80" t="s">
        <v>68</v>
      </c>
      <c r="AM80" t="str">
        <f t="shared" si="1"/>
        <v>CL2024-01-19 19-06-13</v>
      </c>
    </row>
    <row r="81" spans="1:39" x14ac:dyDescent="0.25">
      <c r="A81">
        <v>80</v>
      </c>
      <c r="B81" t="s">
        <v>42</v>
      </c>
      <c r="C81">
        <v>10</v>
      </c>
      <c r="D81">
        <v>5</v>
      </c>
      <c r="E81">
        <v>2</v>
      </c>
      <c r="F81">
        <v>165</v>
      </c>
      <c r="G81">
        <v>499</v>
      </c>
      <c r="H81" s="90">
        <v>97.916666669999998</v>
      </c>
      <c r="I81" s="138">
        <v>85.416666669999998</v>
      </c>
      <c r="J81" s="155">
        <v>89.4</v>
      </c>
      <c r="K81" s="222">
        <v>84.6</v>
      </c>
      <c r="L81" s="343">
        <v>94.791666669999998</v>
      </c>
      <c r="M81" s="344">
        <v>85.833333330000002</v>
      </c>
      <c r="N81" s="345">
        <v>85.17</v>
      </c>
      <c r="O81" s="245">
        <v>82.91</v>
      </c>
      <c r="P81" s="176">
        <v>500</v>
      </c>
      <c r="Q81">
        <v>10</v>
      </c>
      <c r="R81" t="s">
        <v>45</v>
      </c>
      <c r="S81" t="b">
        <v>1</v>
      </c>
      <c r="T81">
        <v>8</v>
      </c>
      <c r="U81" t="b">
        <v>0</v>
      </c>
      <c r="V81" t="s">
        <v>32</v>
      </c>
      <c r="W81" t="s">
        <v>64</v>
      </c>
      <c r="X81" t="s">
        <v>74</v>
      </c>
      <c r="Y81">
        <v>48</v>
      </c>
      <c r="Z81">
        <v>48</v>
      </c>
      <c r="AA81">
        <v>1000</v>
      </c>
      <c r="AB81" t="s">
        <v>62</v>
      </c>
      <c r="AC81" t="s">
        <v>112</v>
      </c>
      <c r="AD81" t="b">
        <v>0</v>
      </c>
      <c r="AE81" t="b">
        <v>0</v>
      </c>
      <c r="AF81" t="b">
        <v>1</v>
      </c>
      <c r="AG81" t="b">
        <v>0</v>
      </c>
      <c r="AH81">
        <v>0</v>
      </c>
      <c r="AI81">
        <v>0</v>
      </c>
      <c r="AJ81">
        <v>6.28318530717958</v>
      </c>
      <c r="AK81">
        <v>0.01</v>
      </c>
      <c r="AL81" t="s">
        <v>68</v>
      </c>
      <c r="AM81" t="str">
        <f t="shared" si="1"/>
        <v>ACL2024-01-19 19-06-13</v>
      </c>
    </row>
    <row r="82" spans="1:39" x14ac:dyDescent="0.25">
      <c r="A82">
        <v>81</v>
      </c>
      <c r="B82" t="s">
        <v>43</v>
      </c>
      <c r="C82">
        <v>10</v>
      </c>
      <c r="D82">
        <v>8</v>
      </c>
      <c r="E82">
        <v>9</v>
      </c>
      <c r="F82">
        <v>385</v>
      </c>
      <c r="G82">
        <v>499</v>
      </c>
      <c r="H82" s="103">
        <v>93.75</v>
      </c>
      <c r="I82" s="91">
        <v>91.666666669999998</v>
      </c>
      <c r="J82" s="90">
        <v>85.8</v>
      </c>
      <c r="K82" s="346">
        <v>86.4</v>
      </c>
      <c r="L82" s="336">
        <v>87.083333330000002</v>
      </c>
      <c r="M82" s="222">
        <v>85</v>
      </c>
      <c r="N82" s="310">
        <v>81.05</v>
      </c>
      <c r="O82" s="222">
        <v>81.97</v>
      </c>
      <c r="P82" s="176">
        <v>500</v>
      </c>
      <c r="Q82">
        <v>10</v>
      </c>
      <c r="R82" t="s">
        <v>45</v>
      </c>
      <c r="S82" t="b">
        <v>1</v>
      </c>
      <c r="T82">
        <v>8</v>
      </c>
      <c r="U82" t="b">
        <v>0</v>
      </c>
      <c r="V82" t="s">
        <v>32</v>
      </c>
      <c r="W82" t="s">
        <v>64</v>
      </c>
      <c r="X82" t="s">
        <v>74</v>
      </c>
      <c r="Y82">
        <v>48</v>
      </c>
      <c r="Z82">
        <v>48</v>
      </c>
      <c r="AA82">
        <v>1000</v>
      </c>
      <c r="AB82" t="s">
        <v>62</v>
      </c>
      <c r="AC82" t="s">
        <v>112</v>
      </c>
      <c r="AD82" t="b">
        <v>0</v>
      </c>
      <c r="AE82" t="b">
        <v>0</v>
      </c>
      <c r="AF82" t="b">
        <v>1</v>
      </c>
      <c r="AG82" t="b">
        <v>0</v>
      </c>
      <c r="AH82">
        <v>0</v>
      </c>
      <c r="AI82">
        <v>0</v>
      </c>
      <c r="AJ82">
        <v>6.28318530717958</v>
      </c>
      <c r="AK82">
        <v>0.01</v>
      </c>
      <c r="AL82" t="s">
        <v>68</v>
      </c>
      <c r="AM82" t="str">
        <f t="shared" si="1"/>
        <v>SPCL2024-01-19 19-06-13</v>
      </c>
    </row>
    <row r="83" spans="1:39" s="1" customFormat="1" x14ac:dyDescent="0.25">
      <c r="A83">
        <v>82</v>
      </c>
      <c r="B83" s="1" t="s">
        <v>44</v>
      </c>
      <c r="C83" s="1">
        <v>10</v>
      </c>
      <c r="D83" s="1">
        <v>0</v>
      </c>
      <c r="E83" s="1">
        <v>2</v>
      </c>
      <c r="F83" s="1">
        <v>119</v>
      </c>
      <c r="G83" s="1">
        <v>499</v>
      </c>
      <c r="H83" s="93">
        <v>100</v>
      </c>
      <c r="I83" s="95">
        <v>77.083333330000002</v>
      </c>
      <c r="J83" s="93">
        <v>93.4</v>
      </c>
      <c r="K83" s="228">
        <v>78</v>
      </c>
      <c r="L83" s="224">
        <v>98.958333330000002</v>
      </c>
      <c r="M83" s="228">
        <v>83.333333330000002</v>
      </c>
      <c r="N83" s="224">
        <v>88.13</v>
      </c>
      <c r="O83" s="228">
        <v>80.739999999999995</v>
      </c>
      <c r="P83" s="178">
        <v>500</v>
      </c>
      <c r="Q83" s="1">
        <v>10</v>
      </c>
      <c r="R83" s="1" t="s">
        <v>45</v>
      </c>
      <c r="S83" s="1" t="b">
        <v>1</v>
      </c>
      <c r="T83" s="1">
        <v>8</v>
      </c>
      <c r="U83" s="1" t="b">
        <v>0</v>
      </c>
      <c r="V83" s="1" t="s">
        <v>32</v>
      </c>
      <c r="W83" s="1" t="s">
        <v>64</v>
      </c>
      <c r="X83" s="1" t="s">
        <v>74</v>
      </c>
      <c r="Y83" s="1">
        <v>48</v>
      </c>
      <c r="Z83" s="1">
        <v>48</v>
      </c>
      <c r="AA83" s="1">
        <v>1000</v>
      </c>
      <c r="AB83" s="1" t="s">
        <v>62</v>
      </c>
      <c r="AC83" s="1" t="s">
        <v>112</v>
      </c>
      <c r="AD83" s="1" t="b">
        <v>0</v>
      </c>
      <c r="AE83" s="1" t="b">
        <v>0</v>
      </c>
      <c r="AF83" s="1" t="b">
        <v>1</v>
      </c>
      <c r="AG83" s="1" t="b">
        <v>0</v>
      </c>
      <c r="AH83" s="1">
        <v>0</v>
      </c>
      <c r="AI83" s="1">
        <v>0</v>
      </c>
      <c r="AJ83" s="1">
        <v>6.28318530717958</v>
      </c>
      <c r="AK83" s="1">
        <v>0.01</v>
      </c>
      <c r="AL83" s="1" t="s">
        <v>68</v>
      </c>
      <c r="AM83" s="1" t="str">
        <f t="shared" si="1"/>
        <v>SPACL2024-01-19 19-06-13</v>
      </c>
    </row>
    <row r="84" spans="1:39" s="2" customFormat="1" x14ac:dyDescent="0.25">
      <c r="A84" s="2">
        <v>83</v>
      </c>
      <c r="B84" s="2" t="s">
        <v>40</v>
      </c>
      <c r="C84" s="2">
        <v>10</v>
      </c>
      <c r="D84" s="2">
        <v>9</v>
      </c>
      <c r="E84" s="2">
        <v>1</v>
      </c>
      <c r="F84" s="2">
        <v>71</v>
      </c>
      <c r="G84" s="2">
        <v>499</v>
      </c>
      <c r="H84" s="125">
        <v>95.833333330000002</v>
      </c>
      <c r="I84" s="89">
        <v>91.666666669999998</v>
      </c>
      <c r="J84" s="111">
        <v>90.8</v>
      </c>
      <c r="K84" s="221">
        <v>90.1</v>
      </c>
      <c r="L84" s="221">
        <v>90.625</v>
      </c>
      <c r="M84" s="220">
        <v>88.75</v>
      </c>
      <c r="N84" s="221">
        <v>83.62</v>
      </c>
      <c r="O84" s="347">
        <v>83.93</v>
      </c>
      <c r="P84" s="177">
        <v>500</v>
      </c>
      <c r="Q84" s="2">
        <v>10</v>
      </c>
      <c r="R84" s="2" t="s">
        <v>45</v>
      </c>
      <c r="S84" s="2" t="b">
        <v>1</v>
      </c>
      <c r="T84" s="2">
        <v>8</v>
      </c>
      <c r="U84" s="2" t="b">
        <v>0</v>
      </c>
      <c r="V84" s="2" t="s">
        <v>32</v>
      </c>
      <c r="W84" s="2" t="s">
        <v>66</v>
      </c>
      <c r="X84" s="2" t="s">
        <v>74</v>
      </c>
      <c r="Y84" s="2">
        <v>48</v>
      </c>
      <c r="Z84" s="2">
        <v>48</v>
      </c>
      <c r="AA84" s="2">
        <v>1000</v>
      </c>
      <c r="AB84" s="2" t="s">
        <v>69</v>
      </c>
      <c r="AC84" s="2" t="s">
        <v>112</v>
      </c>
      <c r="AD84" s="2" t="b">
        <v>1</v>
      </c>
      <c r="AE84" s="2" t="b">
        <v>1</v>
      </c>
      <c r="AF84" s="2" t="b">
        <v>1</v>
      </c>
      <c r="AG84" s="2" t="b">
        <v>0</v>
      </c>
      <c r="AH84" s="2">
        <v>0</v>
      </c>
      <c r="AI84" s="2">
        <v>0</v>
      </c>
      <c r="AJ84" s="2">
        <v>6.2831853070000001</v>
      </c>
      <c r="AK84" s="2">
        <v>0.01</v>
      </c>
      <c r="AL84" s="2" t="s">
        <v>70</v>
      </c>
      <c r="AM84" s="2" t="str">
        <f t="shared" si="1"/>
        <v>NCL2024-01-19 19-34-04</v>
      </c>
    </row>
    <row r="85" spans="1:39" x14ac:dyDescent="0.25">
      <c r="A85">
        <v>84</v>
      </c>
      <c r="B85" t="s">
        <v>41</v>
      </c>
      <c r="C85">
        <v>10</v>
      </c>
      <c r="D85">
        <v>5</v>
      </c>
      <c r="E85">
        <v>5</v>
      </c>
      <c r="F85">
        <v>321</v>
      </c>
      <c r="G85">
        <v>499</v>
      </c>
      <c r="H85" s="90">
        <v>97.916666669999998</v>
      </c>
      <c r="I85" s="91">
        <v>95.833333330000002</v>
      </c>
      <c r="J85" s="90">
        <v>91.8</v>
      </c>
      <c r="K85" s="225">
        <v>96.1</v>
      </c>
      <c r="L85" s="348">
        <v>90.416666669999998</v>
      </c>
      <c r="M85" s="349">
        <v>89.583333330000002</v>
      </c>
      <c r="N85" s="350">
        <v>83.36</v>
      </c>
      <c r="O85" s="351">
        <v>84.44</v>
      </c>
      <c r="P85" s="176">
        <v>500</v>
      </c>
      <c r="Q85">
        <v>10</v>
      </c>
      <c r="R85" t="s">
        <v>45</v>
      </c>
      <c r="S85" t="b">
        <v>1</v>
      </c>
      <c r="T85">
        <v>8</v>
      </c>
      <c r="U85" t="b">
        <v>0</v>
      </c>
      <c r="V85" t="s">
        <v>32</v>
      </c>
      <c r="W85" t="s">
        <v>66</v>
      </c>
      <c r="X85" t="s">
        <v>74</v>
      </c>
      <c r="Y85">
        <v>48</v>
      </c>
      <c r="Z85">
        <v>48</v>
      </c>
      <c r="AA85">
        <v>1000</v>
      </c>
      <c r="AB85" t="s">
        <v>69</v>
      </c>
      <c r="AC85" t="s">
        <v>112</v>
      </c>
      <c r="AD85" t="b">
        <v>1</v>
      </c>
      <c r="AE85" t="b">
        <v>1</v>
      </c>
      <c r="AF85" t="b">
        <v>1</v>
      </c>
      <c r="AG85" t="b">
        <v>0</v>
      </c>
      <c r="AH85">
        <v>0</v>
      </c>
      <c r="AI85">
        <v>0</v>
      </c>
      <c r="AJ85">
        <v>6.2831853070000001</v>
      </c>
      <c r="AK85">
        <v>0.01</v>
      </c>
      <c r="AL85" t="s">
        <v>70</v>
      </c>
      <c r="AM85" t="str">
        <f t="shared" si="1"/>
        <v>CL2024-01-19 19-34-04</v>
      </c>
    </row>
    <row r="86" spans="1:39" x14ac:dyDescent="0.25">
      <c r="A86">
        <v>85</v>
      </c>
      <c r="B86" t="s">
        <v>42</v>
      </c>
      <c r="C86">
        <v>10</v>
      </c>
      <c r="D86">
        <v>1</v>
      </c>
      <c r="E86">
        <v>4</v>
      </c>
      <c r="F86">
        <v>159</v>
      </c>
      <c r="G86">
        <v>499</v>
      </c>
      <c r="H86" s="91">
        <v>100</v>
      </c>
      <c r="I86" s="110">
        <v>93.75</v>
      </c>
      <c r="J86" s="127">
        <v>93.8</v>
      </c>
      <c r="K86" s="320">
        <v>91.5</v>
      </c>
      <c r="L86" s="352">
        <v>94.583333330000002</v>
      </c>
      <c r="M86" s="225">
        <v>91.458333330000002</v>
      </c>
      <c r="N86" s="353">
        <v>87.64</v>
      </c>
      <c r="O86" s="225">
        <v>86.66</v>
      </c>
      <c r="P86" s="176">
        <v>500</v>
      </c>
      <c r="Q86">
        <v>10</v>
      </c>
      <c r="R86" t="s">
        <v>45</v>
      </c>
      <c r="S86" t="b">
        <v>1</v>
      </c>
      <c r="T86">
        <v>8</v>
      </c>
      <c r="U86" t="b">
        <v>0</v>
      </c>
      <c r="V86" t="s">
        <v>32</v>
      </c>
      <c r="W86" t="s">
        <v>66</v>
      </c>
      <c r="X86" t="s">
        <v>74</v>
      </c>
      <c r="Y86">
        <v>48</v>
      </c>
      <c r="Z86">
        <v>48</v>
      </c>
      <c r="AA86">
        <v>1000</v>
      </c>
      <c r="AB86" t="s">
        <v>69</v>
      </c>
      <c r="AC86" t="s">
        <v>112</v>
      </c>
      <c r="AD86" t="b">
        <v>1</v>
      </c>
      <c r="AE86" t="b">
        <v>1</v>
      </c>
      <c r="AF86" t="b">
        <v>1</v>
      </c>
      <c r="AG86" t="b">
        <v>0</v>
      </c>
      <c r="AH86">
        <v>0</v>
      </c>
      <c r="AI86">
        <v>0</v>
      </c>
      <c r="AJ86">
        <v>6.2831853070000001</v>
      </c>
      <c r="AK86">
        <v>0.01</v>
      </c>
      <c r="AL86" t="s">
        <v>70</v>
      </c>
      <c r="AM86" t="str">
        <f t="shared" si="1"/>
        <v>ACL2024-01-19 19-34-04</v>
      </c>
    </row>
    <row r="87" spans="1:39" x14ac:dyDescent="0.25">
      <c r="A87">
        <v>86</v>
      </c>
      <c r="B87" t="s">
        <v>43</v>
      </c>
      <c r="C87">
        <v>10</v>
      </c>
      <c r="D87">
        <v>1</v>
      </c>
      <c r="E87">
        <v>1</v>
      </c>
      <c r="F87">
        <v>422</v>
      </c>
      <c r="G87">
        <v>499</v>
      </c>
      <c r="H87" s="103">
        <v>93.75</v>
      </c>
      <c r="I87" s="90">
        <v>91.666666669999998</v>
      </c>
      <c r="J87" s="92">
        <v>83.1</v>
      </c>
      <c r="K87" s="354">
        <v>87.3</v>
      </c>
      <c r="L87" s="223">
        <v>89.583333330000002</v>
      </c>
      <c r="M87" s="223">
        <v>88.75</v>
      </c>
      <c r="N87" s="223">
        <v>82.41</v>
      </c>
      <c r="O87" s="222">
        <v>83.94</v>
      </c>
      <c r="P87" s="176">
        <v>500</v>
      </c>
      <c r="Q87">
        <v>10</v>
      </c>
      <c r="R87" t="s">
        <v>45</v>
      </c>
      <c r="S87" t="b">
        <v>1</v>
      </c>
      <c r="T87">
        <v>8</v>
      </c>
      <c r="U87" t="b">
        <v>0</v>
      </c>
      <c r="V87" t="s">
        <v>32</v>
      </c>
      <c r="W87" t="s">
        <v>66</v>
      </c>
      <c r="X87" t="s">
        <v>74</v>
      </c>
      <c r="Y87">
        <v>48</v>
      </c>
      <c r="Z87">
        <v>48</v>
      </c>
      <c r="AA87">
        <v>1000</v>
      </c>
      <c r="AB87" t="s">
        <v>69</v>
      </c>
      <c r="AC87" t="s">
        <v>112</v>
      </c>
      <c r="AD87" t="b">
        <v>1</v>
      </c>
      <c r="AE87" t="b">
        <v>1</v>
      </c>
      <c r="AF87" t="b">
        <v>1</v>
      </c>
      <c r="AG87" t="b">
        <v>0</v>
      </c>
      <c r="AH87">
        <v>0</v>
      </c>
      <c r="AI87">
        <v>0</v>
      </c>
      <c r="AJ87">
        <v>6.2831853070000001</v>
      </c>
      <c r="AK87">
        <v>0.01</v>
      </c>
      <c r="AL87" t="s">
        <v>70</v>
      </c>
      <c r="AM87" t="str">
        <f t="shared" si="1"/>
        <v>SPCL2024-01-19 19-34-04</v>
      </c>
    </row>
    <row r="88" spans="1:39" s="1" customFormat="1" x14ac:dyDescent="0.25">
      <c r="A88">
        <v>87</v>
      </c>
      <c r="B88" s="1" t="s">
        <v>44</v>
      </c>
      <c r="C88" s="1">
        <v>10</v>
      </c>
      <c r="D88" s="1">
        <v>0</v>
      </c>
      <c r="E88" s="1">
        <v>4</v>
      </c>
      <c r="F88" s="1">
        <v>26</v>
      </c>
      <c r="G88" s="1">
        <v>499</v>
      </c>
      <c r="H88" s="93">
        <v>100</v>
      </c>
      <c r="I88" s="95">
        <v>87.5</v>
      </c>
      <c r="J88" s="93">
        <v>94.6</v>
      </c>
      <c r="K88" s="228">
        <v>80</v>
      </c>
      <c r="L88" s="224">
        <v>98.958333330000002</v>
      </c>
      <c r="M88" s="228">
        <v>88.75</v>
      </c>
      <c r="N88" s="224">
        <v>93.54</v>
      </c>
      <c r="O88" s="228">
        <v>83.1</v>
      </c>
      <c r="P88" s="178">
        <v>500</v>
      </c>
      <c r="Q88" s="1">
        <v>10</v>
      </c>
      <c r="R88" s="1" t="s">
        <v>45</v>
      </c>
      <c r="S88" s="1" t="b">
        <v>1</v>
      </c>
      <c r="T88" s="1">
        <v>8</v>
      </c>
      <c r="U88" s="1" t="b">
        <v>0</v>
      </c>
      <c r="V88" s="1" t="s">
        <v>32</v>
      </c>
      <c r="W88" s="1" t="s">
        <v>66</v>
      </c>
      <c r="X88" s="1" t="s">
        <v>74</v>
      </c>
      <c r="Y88" s="1">
        <v>48</v>
      </c>
      <c r="Z88" s="1">
        <v>48</v>
      </c>
      <c r="AA88" s="1">
        <v>1000</v>
      </c>
      <c r="AB88" s="1" t="s">
        <v>69</v>
      </c>
      <c r="AC88" s="1" t="s">
        <v>112</v>
      </c>
      <c r="AD88" s="1" t="b">
        <v>1</v>
      </c>
      <c r="AE88" s="1" t="b">
        <v>1</v>
      </c>
      <c r="AF88" s="1" t="b">
        <v>1</v>
      </c>
      <c r="AG88" s="1" t="b">
        <v>0</v>
      </c>
      <c r="AH88" s="1">
        <v>0</v>
      </c>
      <c r="AI88" s="1">
        <v>0</v>
      </c>
      <c r="AJ88" s="1">
        <v>6.2831853070000001</v>
      </c>
      <c r="AK88" s="1">
        <v>0.01</v>
      </c>
      <c r="AL88" s="1" t="s">
        <v>70</v>
      </c>
      <c r="AM88" s="1" t="str">
        <f t="shared" si="1"/>
        <v>SPACL2024-01-19 19-34-04</v>
      </c>
    </row>
    <row r="89" spans="1:39" x14ac:dyDescent="0.25">
      <c r="A89" s="2">
        <v>88</v>
      </c>
      <c r="B89" s="2" t="s">
        <v>40</v>
      </c>
      <c r="C89" s="2">
        <v>10</v>
      </c>
      <c r="D89" s="2">
        <v>7</v>
      </c>
      <c r="E89" s="2">
        <v>0</v>
      </c>
      <c r="F89" s="2">
        <v>151</v>
      </c>
      <c r="G89" s="2">
        <v>499</v>
      </c>
      <c r="H89" s="125">
        <v>95.833333330000002</v>
      </c>
      <c r="I89" s="94">
        <v>93.75</v>
      </c>
      <c r="J89" s="128">
        <v>91.4</v>
      </c>
      <c r="K89" s="355">
        <v>87.9</v>
      </c>
      <c r="L89" s="307">
        <v>93.125</v>
      </c>
      <c r="M89" s="227">
        <v>91.875</v>
      </c>
      <c r="N89" s="356">
        <v>85.93</v>
      </c>
      <c r="O89" s="227">
        <v>85.02</v>
      </c>
      <c r="P89" s="177">
        <v>500</v>
      </c>
      <c r="Q89" s="2">
        <v>10</v>
      </c>
      <c r="R89" s="2" t="s">
        <v>45</v>
      </c>
      <c r="S89" s="2" t="b">
        <v>1</v>
      </c>
      <c r="T89" s="2">
        <v>8</v>
      </c>
      <c r="U89" s="2" t="b">
        <v>0</v>
      </c>
      <c r="V89" s="2" t="s">
        <v>32</v>
      </c>
      <c r="W89" s="2" t="s">
        <v>64</v>
      </c>
      <c r="X89" s="2" t="s">
        <v>74</v>
      </c>
      <c r="Y89" s="2">
        <v>48</v>
      </c>
      <c r="Z89" s="2">
        <v>48</v>
      </c>
      <c r="AA89" s="2">
        <v>1000</v>
      </c>
      <c r="AB89" s="2" t="s">
        <v>69</v>
      </c>
      <c r="AC89" s="2" t="s">
        <v>112</v>
      </c>
      <c r="AD89" s="2" t="b">
        <v>1</v>
      </c>
      <c r="AE89" s="2" t="b">
        <v>1</v>
      </c>
      <c r="AF89" s="2" t="b">
        <v>1</v>
      </c>
      <c r="AG89" s="2" t="b">
        <v>0</v>
      </c>
      <c r="AH89" s="2">
        <v>0</v>
      </c>
      <c r="AI89" s="2">
        <v>0</v>
      </c>
      <c r="AJ89" s="2">
        <v>6.2831853070000001</v>
      </c>
      <c r="AK89" s="2">
        <v>0.01</v>
      </c>
      <c r="AL89" s="2" t="s">
        <v>71</v>
      </c>
      <c r="AM89" s="2" t="str">
        <f t="shared" si="1"/>
        <v>NCL2024-01-19 20-14-07</v>
      </c>
    </row>
    <row r="90" spans="1:39" x14ac:dyDescent="0.25">
      <c r="A90">
        <v>89</v>
      </c>
      <c r="B90" t="s">
        <v>41</v>
      </c>
      <c r="C90">
        <v>10</v>
      </c>
      <c r="D90">
        <v>0</v>
      </c>
      <c r="E90">
        <v>0</v>
      </c>
      <c r="F90">
        <v>399</v>
      </c>
      <c r="G90">
        <v>499</v>
      </c>
      <c r="H90" s="92">
        <v>91.666666669999998</v>
      </c>
      <c r="I90" s="90">
        <v>91.666666669999998</v>
      </c>
      <c r="J90" s="92">
        <v>81.5</v>
      </c>
      <c r="K90" s="222">
        <v>85</v>
      </c>
      <c r="L90" s="223">
        <v>90.208333330000002</v>
      </c>
      <c r="M90" s="357">
        <v>89.375</v>
      </c>
      <c r="N90" s="358">
        <v>80.19</v>
      </c>
      <c r="O90" s="359">
        <v>81.03</v>
      </c>
      <c r="P90" s="176">
        <v>500</v>
      </c>
      <c r="Q90">
        <v>10</v>
      </c>
      <c r="R90" t="s">
        <v>45</v>
      </c>
      <c r="S90" t="b">
        <v>1</v>
      </c>
      <c r="T90">
        <v>8</v>
      </c>
      <c r="U90" t="b">
        <v>0</v>
      </c>
      <c r="V90" t="s">
        <v>32</v>
      </c>
      <c r="W90" t="s">
        <v>64</v>
      </c>
      <c r="X90" t="s">
        <v>74</v>
      </c>
      <c r="Y90">
        <v>48</v>
      </c>
      <c r="Z90">
        <v>48</v>
      </c>
      <c r="AA90">
        <v>1000</v>
      </c>
      <c r="AB90" t="s">
        <v>69</v>
      </c>
      <c r="AC90" t="s">
        <v>112</v>
      </c>
      <c r="AD90" t="b">
        <v>1</v>
      </c>
      <c r="AE90" t="b">
        <v>1</v>
      </c>
      <c r="AF90" t="b">
        <v>1</v>
      </c>
      <c r="AG90" t="b">
        <v>0</v>
      </c>
      <c r="AH90">
        <v>0</v>
      </c>
      <c r="AI90">
        <v>0</v>
      </c>
      <c r="AJ90">
        <v>6.2831853070000001</v>
      </c>
      <c r="AK90">
        <v>0.01</v>
      </c>
      <c r="AL90" t="s">
        <v>71</v>
      </c>
      <c r="AM90" t="str">
        <f t="shared" si="1"/>
        <v>CL2024-01-19 20-14-07</v>
      </c>
    </row>
    <row r="91" spans="1:39" x14ac:dyDescent="0.25">
      <c r="A91">
        <v>90</v>
      </c>
      <c r="B91" t="s">
        <v>42</v>
      </c>
      <c r="C91">
        <v>10</v>
      </c>
      <c r="D91">
        <v>1</v>
      </c>
      <c r="E91">
        <v>2</v>
      </c>
      <c r="F91">
        <v>384</v>
      </c>
      <c r="G91">
        <v>499</v>
      </c>
      <c r="H91" s="98">
        <v>95.833333330000002</v>
      </c>
      <c r="I91" s="137">
        <v>89.583333330000002</v>
      </c>
      <c r="J91" s="90">
        <v>86.2</v>
      </c>
      <c r="K91" s="291">
        <v>82.6</v>
      </c>
      <c r="L91" s="222">
        <v>92.916666669999998</v>
      </c>
      <c r="M91" s="222">
        <v>89.583333330000002</v>
      </c>
      <c r="N91" s="222">
        <v>83.79</v>
      </c>
      <c r="O91" s="222">
        <v>82.07</v>
      </c>
      <c r="P91" s="176">
        <v>500</v>
      </c>
      <c r="Q91">
        <v>10</v>
      </c>
      <c r="R91" t="s">
        <v>45</v>
      </c>
      <c r="S91" t="b">
        <v>1</v>
      </c>
      <c r="T91">
        <v>8</v>
      </c>
      <c r="U91" t="b">
        <v>0</v>
      </c>
      <c r="V91" t="s">
        <v>32</v>
      </c>
      <c r="W91" t="s">
        <v>64</v>
      </c>
      <c r="X91" t="s">
        <v>74</v>
      </c>
      <c r="Y91">
        <v>48</v>
      </c>
      <c r="Z91">
        <v>48</v>
      </c>
      <c r="AA91">
        <v>1000</v>
      </c>
      <c r="AB91" t="s">
        <v>69</v>
      </c>
      <c r="AC91" t="s">
        <v>112</v>
      </c>
      <c r="AD91" t="b">
        <v>1</v>
      </c>
      <c r="AE91" t="b">
        <v>1</v>
      </c>
      <c r="AF91" t="b">
        <v>1</v>
      </c>
      <c r="AG91" t="b">
        <v>0</v>
      </c>
      <c r="AH91">
        <v>0</v>
      </c>
      <c r="AI91">
        <v>0</v>
      </c>
      <c r="AJ91">
        <v>6.2831853070000001</v>
      </c>
      <c r="AK91">
        <v>0.01</v>
      </c>
      <c r="AL91" t="s">
        <v>71</v>
      </c>
      <c r="AM91" t="str">
        <f t="shared" si="1"/>
        <v>ACL2024-01-19 20-14-07</v>
      </c>
    </row>
    <row r="92" spans="1:39" x14ac:dyDescent="0.25">
      <c r="A92">
        <v>91</v>
      </c>
      <c r="B92" t="s">
        <v>43</v>
      </c>
      <c r="C92">
        <v>10</v>
      </c>
      <c r="D92">
        <v>3</v>
      </c>
      <c r="E92">
        <v>3</v>
      </c>
      <c r="F92">
        <v>310</v>
      </c>
      <c r="G92">
        <v>499</v>
      </c>
      <c r="H92" s="90">
        <v>97.916666669999998</v>
      </c>
      <c r="I92" s="91">
        <v>93.75</v>
      </c>
      <c r="J92" s="165">
        <v>86.1</v>
      </c>
      <c r="K92" s="225">
        <v>88.6</v>
      </c>
      <c r="L92" s="360">
        <v>90.416666669999998</v>
      </c>
      <c r="M92" s="223">
        <v>89.166666669999998</v>
      </c>
      <c r="N92" s="223">
        <v>77.599999999999994</v>
      </c>
      <c r="O92" s="223">
        <v>79.58</v>
      </c>
      <c r="P92" s="176">
        <v>500</v>
      </c>
      <c r="Q92">
        <v>10</v>
      </c>
      <c r="R92" t="s">
        <v>45</v>
      </c>
      <c r="S92" t="b">
        <v>1</v>
      </c>
      <c r="T92">
        <v>8</v>
      </c>
      <c r="U92" t="b">
        <v>0</v>
      </c>
      <c r="V92" t="s">
        <v>32</v>
      </c>
      <c r="W92" t="s">
        <v>64</v>
      </c>
      <c r="X92" t="s">
        <v>74</v>
      </c>
      <c r="Y92">
        <v>48</v>
      </c>
      <c r="Z92">
        <v>48</v>
      </c>
      <c r="AA92">
        <v>1000</v>
      </c>
      <c r="AB92" t="s">
        <v>69</v>
      </c>
      <c r="AC92" t="s">
        <v>112</v>
      </c>
      <c r="AD92" t="b">
        <v>1</v>
      </c>
      <c r="AE92" t="b">
        <v>1</v>
      </c>
      <c r="AF92" t="b">
        <v>1</v>
      </c>
      <c r="AG92" t="b">
        <v>0</v>
      </c>
      <c r="AH92">
        <v>0</v>
      </c>
      <c r="AI92">
        <v>0</v>
      </c>
      <c r="AJ92">
        <v>6.2831853070000001</v>
      </c>
      <c r="AK92">
        <v>0.01</v>
      </c>
      <c r="AL92" t="s">
        <v>71</v>
      </c>
      <c r="AM92" t="str">
        <f t="shared" si="1"/>
        <v>SPCL2024-01-19 20-14-07</v>
      </c>
    </row>
    <row r="93" spans="1:39" x14ac:dyDescent="0.25">
      <c r="A93">
        <v>92</v>
      </c>
      <c r="B93" s="1" t="s">
        <v>44</v>
      </c>
      <c r="C93" s="1">
        <v>10</v>
      </c>
      <c r="D93" s="1">
        <v>0</v>
      </c>
      <c r="E93" s="1">
        <v>1</v>
      </c>
      <c r="F93" s="1">
        <v>66</v>
      </c>
      <c r="G93" s="1">
        <v>499</v>
      </c>
      <c r="H93" s="93">
        <v>100</v>
      </c>
      <c r="I93" s="95">
        <v>87.5</v>
      </c>
      <c r="J93" s="93">
        <v>93</v>
      </c>
      <c r="K93" s="228">
        <v>82.4</v>
      </c>
      <c r="L93" s="224">
        <v>99.791666669999998</v>
      </c>
      <c r="M93" s="361">
        <v>90.208333330000002</v>
      </c>
      <c r="N93" s="224">
        <v>91.79</v>
      </c>
      <c r="O93" s="362">
        <v>82.58</v>
      </c>
      <c r="P93" s="178">
        <v>500</v>
      </c>
      <c r="Q93" s="1">
        <v>10</v>
      </c>
      <c r="R93" s="1" t="s">
        <v>45</v>
      </c>
      <c r="S93" s="1" t="b">
        <v>1</v>
      </c>
      <c r="T93" s="1">
        <v>8</v>
      </c>
      <c r="U93" s="1" t="b">
        <v>0</v>
      </c>
      <c r="V93" s="1" t="s">
        <v>32</v>
      </c>
      <c r="W93" s="1" t="s">
        <v>64</v>
      </c>
      <c r="X93" s="1" t="s">
        <v>74</v>
      </c>
      <c r="Y93" s="1">
        <v>48</v>
      </c>
      <c r="Z93" s="1">
        <v>48</v>
      </c>
      <c r="AA93" s="1">
        <v>1000</v>
      </c>
      <c r="AB93" s="1" t="s">
        <v>69</v>
      </c>
      <c r="AC93" s="1" t="s">
        <v>112</v>
      </c>
      <c r="AD93" s="1" t="b">
        <v>1</v>
      </c>
      <c r="AE93" s="1" t="b">
        <v>1</v>
      </c>
      <c r="AF93" s="1" t="b">
        <v>1</v>
      </c>
      <c r="AG93" s="1" t="b">
        <v>0</v>
      </c>
      <c r="AH93" s="1">
        <v>0</v>
      </c>
      <c r="AI93" s="1">
        <v>0</v>
      </c>
      <c r="AJ93" s="1">
        <v>6.2831853070000001</v>
      </c>
      <c r="AK93" s="1">
        <v>0.01</v>
      </c>
      <c r="AL93" s="1" t="s">
        <v>71</v>
      </c>
      <c r="AM93" s="1" t="str">
        <f t="shared" si="1"/>
        <v>SPACL2024-01-19 20-14-07</v>
      </c>
    </row>
    <row r="94" spans="1:39" x14ac:dyDescent="0.25">
      <c r="A94" s="2">
        <v>93</v>
      </c>
      <c r="B94" s="2" t="s">
        <v>40</v>
      </c>
      <c r="C94" s="2">
        <v>10</v>
      </c>
      <c r="D94" s="2">
        <v>1</v>
      </c>
      <c r="E94" s="2">
        <v>1</v>
      </c>
      <c r="F94" s="2">
        <v>126</v>
      </c>
      <c r="G94" s="2">
        <v>499</v>
      </c>
      <c r="H94" s="89">
        <v>97.916666669999998</v>
      </c>
      <c r="I94" s="94">
        <v>95.833333330000002</v>
      </c>
      <c r="J94" s="94">
        <v>94</v>
      </c>
      <c r="K94" s="363">
        <v>89.9</v>
      </c>
      <c r="L94" s="364">
        <v>90</v>
      </c>
      <c r="M94" s="221">
        <v>86.041666669999998</v>
      </c>
      <c r="N94" s="221">
        <v>84.17</v>
      </c>
      <c r="O94" s="365">
        <v>82.48</v>
      </c>
      <c r="P94" s="177">
        <v>500</v>
      </c>
      <c r="Q94" s="2">
        <v>10</v>
      </c>
      <c r="R94" s="2" t="s">
        <v>45</v>
      </c>
      <c r="S94" s="2" t="b">
        <v>1</v>
      </c>
      <c r="T94" s="2">
        <v>8</v>
      </c>
      <c r="U94" s="2" t="b">
        <v>0</v>
      </c>
      <c r="V94" s="2" t="s">
        <v>32</v>
      </c>
      <c r="W94" s="2" t="s">
        <v>66</v>
      </c>
      <c r="X94" s="2" t="s">
        <v>74</v>
      </c>
      <c r="Y94" s="2">
        <v>48</v>
      </c>
      <c r="Z94" s="2">
        <v>48</v>
      </c>
      <c r="AA94" s="2">
        <v>1000</v>
      </c>
      <c r="AB94" s="2" t="s">
        <v>69</v>
      </c>
      <c r="AC94" s="2" t="s">
        <v>112</v>
      </c>
      <c r="AD94" s="2" t="b">
        <v>0</v>
      </c>
      <c r="AE94" s="2" t="b">
        <v>0</v>
      </c>
      <c r="AF94" s="2" t="b">
        <v>1</v>
      </c>
      <c r="AG94" s="2" t="b">
        <v>0</v>
      </c>
      <c r="AH94" s="2">
        <v>0</v>
      </c>
      <c r="AI94" s="2">
        <v>0</v>
      </c>
      <c r="AJ94" s="2">
        <v>6.2831853070000001</v>
      </c>
      <c r="AK94" s="2">
        <v>0.01</v>
      </c>
      <c r="AL94" s="2" t="s">
        <v>72</v>
      </c>
      <c r="AM94" s="2" t="str">
        <f t="shared" si="1"/>
        <v>NCL2024-01-19 20-10-33</v>
      </c>
    </row>
    <row r="95" spans="1:39" x14ac:dyDescent="0.25">
      <c r="A95">
        <v>94</v>
      </c>
      <c r="B95" t="s">
        <v>41</v>
      </c>
      <c r="C95">
        <v>10</v>
      </c>
      <c r="D95">
        <v>1</v>
      </c>
      <c r="E95">
        <v>1</v>
      </c>
      <c r="F95">
        <v>207</v>
      </c>
      <c r="G95">
        <v>499</v>
      </c>
      <c r="H95" s="92">
        <v>95.833333330000002</v>
      </c>
      <c r="I95" s="91">
        <v>95.833333330000002</v>
      </c>
      <c r="J95" s="90">
        <v>89.3</v>
      </c>
      <c r="K95" s="225">
        <v>91.6</v>
      </c>
      <c r="L95" s="223">
        <v>86.666666669999998</v>
      </c>
      <c r="M95" s="366">
        <v>85.416666669999998</v>
      </c>
      <c r="N95" s="223">
        <v>81.31</v>
      </c>
      <c r="O95" s="222">
        <v>82.93</v>
      </c>
      <c r="P95" s="176">
        <v>500</v>
      </c>
      <c r="Q95">
        <v>10</v>
      </c>
      <c r="R95" t="s">
        <v>45</v>
      </c>
      <c r="S95" t="b">
        <v>1</v>
      </c>
      <c r="T95">
        <v>8</v>
      </c>
      <c r="U95" t="b">
        <v>0</v>
      </c>
      <c r="V95" t="s">
        <v>32</v>
      </c>
      <c r="W95" t="s">
        <v>66</v>
      </c>
      <c r="X95" t="s">
        <v>74</v>
      </c>
      <c r="Y95">
        <v>48</v>
      </c>
      <c r="Z95">
        <v>48</v>
      </c>
      <c r="AA95">
        <v>1000</v>
      </c>
      <c r="AB95" t="s">
        <v>69</v>
      </c>
      <c r="AC95" t="s">
        <v>112</v>
      </c>
      <c r="AD95" t="b">
        <v>0</v>
      </c>
      <c r="AE95" t="b">
        <v>0</v>
      </c>
      <c r="AF95" t="b">
        <v>1</v>
      </c>
      <c r="AG95" t="b">
        <v>0</v>
      </c>
      <c r="AH95">
        <v>0</v>
      </c>
      <c r="AI95">
        <v>0</v>
      </c>
      <c r="AJ95">
        <v>6.2831853070000001</v>
      </c>
      <c r="AK95">
        <v>0.01</v>
      </c>
      <c r="AL95" t="s">
        <v>72</v>
      </c>
      <c r="AM95" t="str">
        <f t="shared" si="1"/>
        <v>CL2024-01-19 20-10-33</v>
      </c>
    </row>
    <row r="96" spans="1:39" x14ac:dyDescent="0.25">
      <c r="A96">
        <v>95</v>
      </c>
      <c r="B96" t="s">
        <v>42</v>
      </c>
      <c r="C96">
        <v>10</v>
      </c>
      <c r="D96">
        <v>1</v>
      </c>
      <c r="E96">
        <v>8</v>
      </c>
      <c r="F96">
        <v>313</v>
      </c>
      <c r="G96">
        <v>499</v>
      </c>
      <c r="H96" s="91">
        <v>100</v>
      </c>
      <c r="I96" s="91">
        <v>95.833333330000002</v>
      </c>
      <c r="J96" s="92">
        <v>88</v>
      </c>
      <c r="K96" s="367">
        <v>82.1</v>
      </c>
      <c r="L96" s="368">
        <v>96.25</v>
      </c>
      <c r="M96" s="225">
        <v>94.166666669999998</v>
      </c>
      <c r="N96" s="369">
        <v>89.35</v>
      </c>
      <c r="O96" s="225">
        <v>87.38</v>
      </c>
      <c r="P96" s="176">
        <v>500</v>
      </c>
      <c r="Q96">
        <v>10</v>
      </c>
      <c r="R96" t="s">
        <v>45</v>
      </c>
      <c r="S96" t="b">
        <v>1</v>
      </c>
      <c r="T96">
        <v>8</v>
      </c>
      <c r="U96" t="b">
        <v>0</v>
      </c>
      <c r="V96" t="s">
        <v>32</v>
      </c>
      <c r="W96" t="s">
        <v>66</v>
      </c>
      <c r="X96" t="s">
        <v>74</v>
      </c>
      <c r="Y96">
        <v>48</v>
      </c>
      <c r="Z96">
        <v>48</v>
      </c>
      <c r="AA96">
        <v>1000</v>
      </c>
      <c r="AB96" t="s">
        <v>69</v>
      </c>
      <c r="AC96" t="s">
        <v>112</v>
      </c>
      <c r="AD96" t="b">
        <v>0</v>
      </c>
      <c r="AE96" t="b">
        <v>0</v>
      </c>
      <c r="AF96" t="b">
        <v>1</v>
      </c>
      <c r="AG96" t="b">
        <v>0</v>
      </c>
      <c r="AH96">
        <v>0</v>
      </c>
      <c r="AI96">
        <v>0</v>
      </c>
      <c r="AJ96">
        <v>6.2831853070000001</v>
      </c>
      <c r="AK96">
        <v>0.01</v>
      </c>
      <c r="AL96" t="s">
        <v>72</v>
      </c>
      <c r="AM96" t="str">
        <f t="shared" si="1"/>
        <v>ACL2024-01-19 20-10-33</v>
      </c>
    </row>
    <row r="97" spans="1:39" x14ac:dyDescent="0.25">
      <c r="A97">
        <v>96</v>
      </c>
      <c r="B97" t="s">
        <v>43</v>
      </c>
      <c r="C97">
        <v>10</v>
      </c>
      <c r="D97">
        <v>7</v>
      </c>
      <c r="E97">
        <v>3</v>
      </c>
      <c r="F97">
        <v>439</v>
      </c>
      <c r="G97">
        <v>499</v>
      </c>
      <c r="H97" s="90">
        <v>97.916666669999998</v>
      </c>
      <c r="I97" s="123">
        <v>89.583333330000002</v>
      </c>
      <c r="J97" s="156">
        <v>88.2</v>
      </c>
      <c r="K97" s="222">
        <v>86.4</v>
      </c>
      <c r="L97" s="222">
        <v>90.208333330000002</v>
      </c>
      <c r="M97" s="370">
        <v>86.25</v>
      </c>
      <c r="N97" s="371">
        <v>83.95</v>
      </c>
      <c r="O97" s="372">
        <v>83.88</v>
      </c>
      <c r="P97" s="176">
        <v>500</v>
      </c>
      <c r="Q97">
        <v>10</v>
      </c>
      <c r="R97" t="s">
        <v>45</v>
      </c>
      <c r="S97" t="b">
        <v>1</v>
      </c>
      <c r="T97">
        <v>8</v>
      </c>
      <c r="U97" t="b">
        <v>0</v>
      </c>
      <c r="V97" t="s">
        <v>32</v>
      </c>
      <c r="W97" t="s">
        <v>66</v>
      </c>
      <c r="X97" t="s">
        <v>74</v>
      </c>
      <c r="Y97">
        <v>48</v>
      </c>
      <c r="Z97">
        <v>48</v>
      </c>
      <c r="AA97">
        <v>1000</v>
      </c>
      <c r="AB97" t="s">
        <v>69</v>
      </c>
      <c r="AC97" t="s">
        <v>112</v>
      </c>
      <c r="AD97" t="b">
        <v>0</v>
      </c>
      <c r="AE97" t="b">
        <v>0</v>
      </c>
      <c r="AF97" t="b">
        <v>1</v>
      </c>
      <c r="AG97" t="b">
        <v>0</v>
      </c>
      <c r="AH97">
        <v>0</v>
      </c>
      <c r="AI97">
        <v>0</v>
      </c>
      <c r="AJ97">
        <v>6.2831853070000001</v>
      </c>
      <c r="AK97">
        <v>0.01</v>
      </c>
      <c r="AL97" t="s">
        <v>72</v>
      </c>
      <c r="AM97" t="str">
        <f t="shared" si="1"/>
        <v>SPCL2024-01-19 20-10-33</v>
      </c>
    </row>
    <row r="98" spans="1:39" x14ac:dyDescent="0.25">
      <c r="A98">
        <v>97</v>
      </c>
      <c r="B98" s="1" t="s">
        <v>44</v>
      </c>
      <c r="C98" s="1">
        <v>10</v>
      </c>
      <c r="D98" s="1">
        <v>0</v>
      </c>
      <c r="E98" s="1">
        <v>4</v>
      </c>
      <c r="F98" s="1">
        <v>110</v>
      </c>
      <c r="G98" s="1">
        <v>499</v>
      </c>
      <c r="H98" s="93">
        <v>100</v>
      </c>
      <c r="I98" s="95">
        <v>72.916666669999998</v>
      </c>
      <c r="J98" s="129">
        <v>92.1</v>
      </c>
      <c r="K98" s="228">
        <v>75.8</v>
      </c>
      <c r="L98" s="224">
        <v>100</v>
      </c>
      <c r="M98" s="228">
        <v>78.75</v>
      </c>
      <c r="N98" s="224">
        <v>90.51</v>
      </c>
      <c r="O98" s="228">
        <v>78.73</v>
      </c>
      <c r="P98" s="178">
        <v>500</v>
      </c>
      <c r="Q98" s="1">
        <v>10</v>
      </c>
      <c r="R98" s="1" t="s">
        <v>45</v>
      </c>
      <c r="S98" s="1" t="b">
        <v>1</v>
      </c>
      <c r="T98" s="1">
        <v>8</v>
      </c>
      <c r="U98" s="1" t="b">
        <v>0</v>
      </c>
      <c r="V98" s="1" t="s">
        <v>32</v>
      </c>
      <c r="W98" s="1" t="s">
        <v>66</v>
      </c>
      <c r="X98" s="1" t="s">
        <v>74</v>
      </c>
      <c r="Y98" s="1">
        <v>48</v>
      </c>
      <c r="Z98" s="1">
        <v>48</v>
      </c>
      <c r="AA98" s="1">
        <v>1000</v>
      </c>
      <c r="AB98" s="1" t="s">
        <v>69</v>
      </c>
      <c r="AC98" s="1" t="s">
        <v>112</v>
      </c>
      <c r="AD98" s="1" t="b">
        <v>0</v>
      </c>
      <c r="AE98" s="1" t="b">
        <v>0</v>
      </c>
      <c r="AF98" s="1" t="b">
        <v>1</v>
      </c>
      <c r="AG98" s="1" t="b">
        <v>0</v>
      </c>
      <c r="AH98" s="1">
        <v>0</v>
      </c>
      <c r="AI98" s="1">
        <v>0</v>
      </c>
      <c r="AJ98" s="1">
        <v>6.2831853070000001</v>
      </c>
      <c r="AK98" s="1">
        <v>0.01</v>
      </c>
      <c r="AL98" s="1" t="s">
        <v>72</v>
      </c>
      <c r="AM98" s="1" t="str">
        <f t="shared" si="1"/>
        <v>SPACL2024-01-19 20-10-33</v>
      </c>
    </row>
    <row r="99" spans="1:39" x14ac:dyDescent="0.25">
      <c r="A99" s="2">
        <v>98</v>
      </c>
      <c r="B99" s="2" t="s">
        <v>40</v>
      </c>
      <c r="C99" s="2">
        <v>10</v>
      </c>
      <c r="D99" s="2">
        <v>2</v>
      </c>
      <c r="E99" s="2">
        <v>2</v>
      </c>
      <c r="F99" s="2">
        <v>384</v>
      </c>
      <c r="G99" s="2">
        <v>499</v>
      </c>
      <c r="H99" s="88">
        <v>93.75</v>
      </c>
      <c r="I99" s="94">
        <v>91.666666669999998</v>
      </c>
      <c r="J99" s="130">
        <v>84.9</v>
      </c>
      <c r="K99" s="309">
        <v>86.9</v>
      </c>
      <c r="L99" s="221">
        <v>90</v>
      </c>
      <c r="M99" s="373">
        <v>87.291666669999998</v>
      </c>
      <c r="N99" s="221">
        <v>82.83</v>
      </c>
      <c r="O99" s="374">
        <v>84</v>
      </c>
      <c r="P99" s="177">
        <v>500</v>
      </c>
      <c r="Q99" s="2">
        <v>10</v>
      </c>
      <c r="R99" s="2" t="s">
        <v>45</v>
      </c>
      <c r="S99" s="2" t="b">
        <v>1</v>
      </c>
      <c r="T99" s="2">
        <v>8</v>
      </c>
      <c r="U99" s="2" t="b">
        <v>0</v>
      </c>
      <c r="V99" s="2" t="s">
        <v>32</v>
      </c>
      <c r="W99" s="2" t="s">
        <v>64</v>
      </c>
      <c r="X99" s="2" t="s">
        <v>74</v>
      </c>
      <c r="Y99" s="2">
        <v>48</v>
      </c>
      <c r="Z99" s="2">
        <v>48</v>
      </c>
      <c r="AA99" s="2">
        <v>1000</v>
      </c>
      <c r="AB99" s="2" t="s">
        <v>69</v>
      </c>
      <c r="AC99" s="2" t="s">
        <v>112</v>
      </c>
      <c r="AD99" s="2" t="b">
        <v>0</v>
      </c>
      <c r="AE99" s="2" t="b">
        <v>0</v>
      </c>
      <c r="AF99" s="2" t="b">
        <v>1</v>
      </c>
      <c r="AG99" s="2" t="b">
        <v>0</v>
      </c>
      <c r="AH99" s="2">
        <v>0</v>
      </c>
      <c r="AI99" s="2">
        <v>0</v>
      </c>
      <c r="AJ99" s="2">
        <v>6.2831853070000001</v>
      </c>
      <c r="AK99" s="2">
        <v>0.01</v>
      </c>
      <c r="AL99" s="2" t="s">
        <v>73</v>
      </c>
      <c r="AM99" s="2" t="str">
        <f t="shared" si="1"/>
        <v>NCL2024-01-19 21-19-33</v>
      </c>
    </row>
    <row r="100" spans="1:39" x14ac:dyDescent="0.25">
      <c r="A100">
        <v>99</v>
      </c>
      <c r="B100" t="s">
        <v>41</v>
      </c>
      <c r="C100">
        <v>10</v>
      </c>
      <c r="D100">
        <v>8</v>
      </c>
      <c r="E100">
        <v>8</v>
      </c>
      <c r="F100">
        <v>415</v>
      </c>
      <c r="G100">
        <v>499</v>
      </c>
      <c r="H100" s="92">
        <v>93.75</v>
      </c>
      <c r="I100" s="91">
        <v>91.666666669999998</v>
      </c>
      <c r="J100" s="90">
        <v>85.8</v>
      </c>
      <c r="K100" s="222">
        <v>85.5</v>
      </c>
      <c r="L100" s="223">
        <v>81.25</v>
      </c>
      <c r="M100" s="223">
        <v>80.208333330000002</v>
      </c>
      <c r="N100" s="223">
        <v>75.2</v>
      </c>
      <c r="O100" s="223">
        <v>78.31</v>
      </c>
      <c r="P100" s="176">
        <v>500</v>
      </c>
      <c r="Q100">
        <v>10</v>
      </c>
      <c r="R100" t="s">
        <v>45</v>
      </c>
      <c r="S100" t="b">
        <v>1</v>
      </c>
      <c r="T100">
        <v>8</v>
      </c>
      <c r="U100" t="b">
        <v>0</v>
      </c>
      <c r="V100" t="s">
        <v>32</v>
      </c>
      <c r="W100" t="s">
        <v>64</v>
      </c>
      <c r="X100" t="s">
        <v>74</v>
      </c>
      <c r="Y100">
        <v>48</v>
      </c>
      <c r="Z100">
        <v>48</v>
      </c>
      <c r="AA100">
        <v>1000</v>
      </c>
      <c r="AB100" t="s">
        <v>69</v>
      </c>
      <c r="AC100" t="s">
        <v>112</v>
      </c>
      <c r="AD100" t="b">
        <v>0</v>
      </c>
      <c r="AE100" t="b">
        <v>0</v>
      </c>
      <c r="AF100" t="b">
        <v>1</v>
      </c>
      <c r="AG100" t="b">
        <v>0</v>
      </c>
      <c r="AH100">
        <v>0</v>
      </c>
      <c r="AI100">
        <v>0</v>
      </c>
      <c r="AJ100">
        <v>6.2831853070000001</v>
      </c>
      <c r="AK100">
        <v>0.01</v>
      </c>
      <c r="AL100" t="s">
        <v>73</v>
      </c>
      <c r="AM100" t="str">
        <f t="shared" si="1"/>
        <v>CL2024-01-19 21-19-33</v>
      </c>
    </row>
    <row r="101" spans="1:39" x14ac:dyDescent="0.25">
      <c r="A101">
        <v>100</v>
      </c>
      <c r="B101" t="s">
        <v>42</v>
      </c>
      <c r="C101">
        <v>10</v>
      </c>
      <c r="D101">
        <v>9</v>
      </c>
      <c r="E101">
        <v>0</v>
      </c>
      <c r="F101">
        <v>332</v>
      </c>
      <c r="G101">
        <v>499</v>
      </c>
      <c r="H101" s="91">
        <v>100</v>
      </c>
      <c r="I101" s="91">
        <v>91.666666669999998</v>
      </c>
      <c r="J101" s="167">
        <v>91.2</v>
      </c>
      <c r="K101" s="225">
        <v>90.4</v>
      </c>
      <c r="L101" s="372">
        <v>92.083333330000002</v>
      </c>
      <c r="M101" s="225">
        <v>88.125</v>
      </c>
      <c r="N101" s="297">
        <v>83.94</v>
      </c>
      <c r="O101" s="225">
        <v>85.26</v>
      </c>
      <c r="P101" s="176">
        <v>500</v>
      </c>
      <c r="Q101">
        <v>10</v>
      </c>
      <c r="R101" t="s">
        <v>45</v>
      </c>
      <c r="S101" t="b">
        <v>1</v>
      </c>
      <c r="T101">
        <v>8</v>
      </c>
      <c r="U101" t="b">
        <v>0</v>
      </c>
      <c r="V101" t="s">
        <v>32</v>
      </c>
      <c r="W101" t="s">
        <v>64</v>
      </c>
      <c r="X101" t="s">
        <v>74</v>
      </c>
      <c r="Y101">
        <v>48</v>
      </c>
      <c r="Z101">
        <v>48</v>
      </c>
      <c r="AA101">
        <v>1000</v>
      </c>
      <c r="AB101" t="s">
        <v>69</v>
      </c>
      <c r="AC101" t="s">
        <v>112</v>
      </c>
      <c r="AD101" t="b">
        <v>0</v>
      </c>
      <c r="AE101" t="b">
        <v>0</v>
      </c>
      <c r="AF101" t="b">
        <v>1</v>
      </c>
      <c r="AG101" t="b">
        <v>0</v>
      </c>
      <c r="AH101">
        <v>0</v>
      </c>
      <c r="AI101">
        <v>0</v>
      </c>
      <c r="AJ101">
        <v>6.2831853070000001</v>
      </c>
      <c r="AK101">
        <v>0.01</v>
      </c>
      <c r="AL101" t="s">
        <v>73</v>
      </c>
      <c r="AM101" t="str">
        <f t="shared" si="1"/>
        <v>ACL2024-01-19 21-19-33</v>
      </c>
    </row>
    <row r="102" spans="1:39" x14ac:dyDescent="0.25">
      <c r="A102">
        <v>101</v>
      </c>
      <c r="B102" t="s">
        <v>43</v>
      </c>
      <c r="C102">
        <v>10</v>
      </c>
      <c r="D102">
        <v>3</v>
      </c>
      <c r="E102">
        <v>9</v>
      </c>
      <c r="F102">
        <v>416</v>
      </c>
      <c r="G102">
        <v>499</v>
      </c>
      <c r="H102" s="92">
        <v>93.75</v>
      </c>
      <c r="I102" s="92">
        <v>79.166666669999998</v>
      </c>
      <c r="J102" s="92">
        <v>84.2</v>
      </c>
      <c r="K102" s="223">
        <v>81.400000000000006</v>
      </c>
      <c r="L102" s="367">
        <v>86.458333330000002</v>
      </c>
      <c r="M102" s="222">
        <v>83.333333330000002</v>
      </c>
      <c r="N102" s="375">
        <v>79.22</v>
      </c>
      <c r="O102" s="222">
        <v>80.3</v>
      </c>
      <c r="P102" s="176">
        <v>500</v>
      </c>
      <c r="Q102">
        <v>10</v>
      </c>
      <c r="R102" t="s">
        <v>45</v>
      </c>
      <c r="S102" t="b">
        <v>1</v>
      </c>
      <c r="T102">
        <v>8</v>
      </c>
      <c r="U102" t="b">
        <v>0</v>
      </c>
      <c r="V102" t="s">
        <v>32</v>
      </c>
      <c r="W102" t="s">
        <v>64</v>
      </c>
      <c r="X102" t="s">
        <v>74</v>
      </c>
      <c r="Y102">
        <v>48</v>
      </c>
      <c r="Z102">
        <v>48</v>
      </c>
      <c r="AA102">
        <v>1000</v>
      </c>
      <c r="AB102" t="s">
        <v>69</v>
      </c>
      <c r="AC102" t="s">
        <v>112</v>
      </c>
      <c r="AD102" t="b">
        <v>0</v>
      </c>
      <c r="AE102" t="b">
        <v>0</v>
      </c>
      <c r="AF102" t="b">
        <v>1</v>
      </c>
      <c r="AG102" t="b">
        <v>0</v>
      </c>
      <c r="AH102">
        <v>0</v>
      </c>
      <c r="AI102">
        <v>0</v>
      </c>
      <c r="AJ102">
        <v>6.2831853070000001</v>
      </c>
      <c r="AK102">
        <v>0.01</v>
      </c>
      <c r="AL102" t="s">
        <v>73</v>
      </c>
      <c r="AM102" t="str">
        <f t="shared" si="1"/>
        <v>SPCL2024-01-19 21-19-33</v>
      </c>
    </row>
    <row r="103" spans="1:39" x14ac:dyDescent="0.25">
      <c r="A103">
        <v>102</v>
      </c>
      <c r="B103" s="1" t="s">
        <v>44</v>
      </c>
      <c r="C103" s="1">
        <v>10</v>
      </c>
      <c r="D103" s="1">
        <v>0</v>
      </c>
      <c r="E103" s="1">
        <v>4</v>
      </c>
      <c r="F103" s="1">
        <v>127</v>
      </c>
      <c r="G103" s="1">
        <v>499</v>
      </c>
      <c r="H103" s="93">
        <v>100</v>
      </c>
      <c r="I103" s="131">
        <v>87.5</v>
      </c>
      <c r="J103" s="93">
        <v>93.1</v>
      </c>
      <c r="K103" s="322">
        <v>82.8</v>
      </c>
      <c r="L103" s="224">
        <v>99.583333330000002</v>
      </c>
      <c r="M103" s="376">
        <v>80.833333330000002</v>
      </c>
      <c r="N103" s="224">
        <v>89.84</v>
      </c>
      <c r="O103" s="377">
        <v>79.05</v>
      </c>
      <c r="P103" s="178">
        <v>500</v>
      </c>
      <c r="Q103" s="1">
        <v>10</v>
      </c>
      <c r="R103" s="1" t="s">
        <v>45</v>
      </c>
      <c r="S103" s="1" t="b">
        <v>1</v>
      </c>
      <c r="T103" s="1">
        <v>8</v>
      </c>
      <c r="U103" s="1" t="b">
        <v>0</v>
      </c>
      <c r="V103" s="1" t="s">
        <v>32</v>
      </c>
      <c r="W103" s="1" t="s">
        <v>64</v>
      </c>
      <c r="X103" s="1" t="s">
        <v>74</v>
      </c>
      <c r="Y103" s="1">
        <v>48</v>
      </c>
      <c r="Z103" s="1">
        <v>48</v>
      </c>
      <c r="AA103" s="1">
        <v>1000</v>
      </c>
      <c r="AB103" s="1" t="s">
        <v>69</v>
      </c>
      <c r="AC103" s="1" t="s">
        <v>112</v>
      </c>
      <c r="AD103" s="1" t="b">
        <v>0</v>
      </c>
      <c r="AE103" s="1" t="b">
        <v>0</v>
      </c>
      <c r="AF103" s="1" t="b">
        <v>1</v>
      </c>
      <c r="AG103" s="1" t="b">
        <v>0</v>
      </c>
      <c r="AH103" s="1">
        <v>0</v>
      </c>
      <c r="AI103" s="1">
        <v>0</v>
      </c>
      <c r="AJ103" s="1">
        <v>6.2831853070000001</v>
      </c>
      <c r="AK103" s="1">
        <v>0.01</v>
      </c>
      <c r="AL103" s="1" t="s">
        <v>73</v>
      </c>
      <c r="AM103" s="1" t="str">
        <f t="shared" si="1"/>
        <v>SPACL2024-01-19 21-19-33</v>
      </c>
    </row>
    <row r="104" spans="1:39" x14ac:dyDescent="0.25">
      <c r="A104" s="2">
        <v>103</v>
      </c>
      <c r="B104" t="s">
        <v>40</v>
      </c>
      <c r="C104">
        <v>10</v>
      </c>
      <c r="D104">
        <v>0</v>
      </c>
      <c r="E104">
        <v>0</v>
      </c>
      <c r="F104">
        <v>307</v>
      </c>
      <c r="G104">
        <v>499</v>
      </c>
      <c r="H104" s="102">
        <v>97.9166666666666</v>
      </c>
      <c r="I104" s="91">
        <v>97.9166666666666</v>
      </c>
      <c r="J104" s="90">
        <v>87.7</v>
      </c>
      <c r="K104" s="222">
        <v>87.3</v>
      </c>
      <c r="L104" s="378">
        <v>96.4583333333333</v>
      </c>
      <c r="M104" s="225">
        <v>95.4166666666666</v>
      </c>
      <c r="N104" s="378">
        <v>85.77</v>
      </c>
      <c r="O104" s="222">
        <v>86.45</v>
      </c>
      <c r="P104" s="176">
        <v>500</v>
      </c>
      <c r="Q104">
        <v>10</v>
      </c>
      <c r="R104" t="s">
        <v>45</v>
      </c>
      <c r="S104" t="b">
        <v>1</v>
      </c>
      <c r="T104">
        <v>8</v>
      </c>
      <c r="U104" t="b">
        <v>0</v>
      </c>
      <c r="V104" t="s">
        <v>32</v>
      </c>
      <c r="W104" t="s">
        <v>64</v>
      </c>
      <c r="X104" t="s">
        <v>74</v>
      </c>
      <c r="Y104">
        <v>48</v>
      </c>
      <c r="Z104">
        <v>48</v>
      </c>
      <c r="AA104">
        <v>1000</v>
      </c>
      <c r="AB104" t="s">
        <v>62</v>
      </c>
      <c r="AC104" t="s">
        <v>112</v>
      </c>
      <c r="AD104" t="b">
        <v>1</v>
      </c>
      <c r="AE104" t="b">
        <v>1</v>
      </c>
      <c r="AF104" t="b">
        <v>1</v>
      </c>
      <c r="AG104" t="b">
        <v>0</v>
      </c>
      <c r="AH104">
        <v>0</v>
      </c>
      <c r="AI104">
        <v>0</v>
      </c>
      <c r="AJ104">
        <v>6.28318530717958</v>
      </c>
      <c r="AK104">
        <v>0.01</v>
      </c>
      <c r="AL104" s="2" t="s">
        <v>79</v>
      </c>
      <c r="AM104" s="2" t="str">
        <f t="shared" si="1"/>
        <v>NCL2024-01-20 10-14-53</v>
      </c>
    </row>
    <row r="105" spans="1:39" x14ac:dyDescent="0.25">
      <c r="A105">
        <v>104</v>
      </c>
      <c r="B105" t="s">
        <v>41</v>
      </c>
      <c r="C105">
        <v>10</v>
      </c>
      <c r="D105">
        <v>7</v>
      </c>
      <c r="E105">
        <v>2</v>
      </c>
      <c r="F105">
        <v>381</v>
      </c>
      <c r="G105">
        <v>499</v>
      </c>
      <c r="H105" s="102">
        <v>97.9166666666666</v>
      </c>
      <c r="I105" s="92">
        <v>95.8333333333333</v>
      </c>
      <c r="J105" s="126">
        <v>87.4</v>
      </c>
      <c r="K105" s="379">
        <v>88.3</v>
      </c>
      <c r="L105" s="223">
        <v>92.5</v>
      </c>
      <c r="M105" s="223">
        <v>91.6666666666666</v>
      </c>
      <c r="N105" s="223">
        <v>82.74</v>
      </c>
      <c r="O105" s="223">
        <v>83.789999999999907</v>
      </c>
      <c r="P105" s="176">
        <v>500</v>
      </c>
      <c r="Q105">
        <v>10</v>
      </c>
      <c r="R105" t="s">
        <v>45</v>
      </c>
      <c r="S105" t="b">
        <v>1</v>
      </c>
      <c r="T105">
        <v>8</v>
      </c>
      <c r="U105" t="b">
        <v>0</v>
      </c>
      <c r="V105" t="s">
        <v>32</v>
      </c>
      <c r="W105" t="s">
        <v>64</v>
      </c>
      <c r="X105" t="s">
        <v>74</v>
      </c>
      <c r="Y105">
        <v>48</v>
      </c>
      <c r="Z105">
        <v>48</v>
      </c>
      <c r="AA105">
        <v>1000</v>
      </c>
      <c r="AB105" t="s">
        <v>62</v>
      </c>
      <c r="AC105" t="s">
        <v>112</v>
      </c>
      <c r="AD105" t="b">
        <v>1</v>
      </c>
      <c r="AE105" t="b">
        <v>1</v>
      </c>
      <c r="AF105" t="b">
        <v>1</v>
      </c>
      <c r="AG105" t="b">
        <v>0</v>
      </c>
      <c r="AH105">
        <v>0</v>
      </c>
      <c r="AI105">
        <v>0</v>
      </c>
      <c r="AJ105">
        <v>6.28318530717958</v>
      </c>
      <c r="AK105">
        <v>0.01</v>
      </c>
      <c r="AL105" t="s">
        <v>79</v>
      </c>
      <c r="AM105" t="str">
        <f t="shared" si="1"/>
        <v>CL2024-01-20 10-14-53</v>
      </c>
    </row>
    <row r="106" spans="1:39" x14ac:dyDescent="0.25">
      <c r="A106">
        <v>105</v>
      </c>
      <c r="B106" t="s">
        <v>42</v>
      </c>
      <c r="C106">
        <v>10</v>
      </c>
      <c r="D106">
        <v>1</v>
      </c>
      <c r="E106">
        <v>8</v>
      </c>
      <c r="F106">
        <v>164</v>
      </c>
      <c r="G106">
        <v>499</v>
      </c>
      <c r="H106" s="91">
        <v>100</v>
      </c>
      <c r="I106" s="91">
        <v>97.9166666666666</v>
      </c>
      <c r="J106" s="91">
        <v>89.9</v>
      </c>
      <c r="K106" s="223">
        <v>85.8</v>
      </c>
      <c r="L106" s="286">
        <v>97.9166666666666</v>
      </c>
      <c r="M106" s="222">
        <v>94.7916666666666</v>
      </c>
      <c r="N106" s="332">
        <v>87.16</v>
      </c>
      <c r="O106" s="225">
        <v>86.84</v>
      </c>
      <c r="P106" s="176">
        <v>500</v>
      </c>
      <c r="Q106">
        <v>10</v>
      </c>
      <c r="R106" t="s">
        <v>45</v>
      </c>
      <c r="S106" t="b">
        <v>1</v>
      </c>
      <c r="T106">
        <v>8</v>
      </c>
      <c r="U106" t="b">
        <v>0</v>
      </c>
      <c r="V106" t="s">
        <v>32</v>
      </c>
      <c r="W106" t="s">
        <v>64</v>
      </c>
      <c r="X106" t="s">
        <v>74</v>
      </c>
      <c r="Y106">
        <v>48</v>
      </c>
      <c r="Z106">
        <v>48</v>
      </c>
      <c r="AA106">
        <v>1000</v>
      </c>
      <c r="AB106" t="s">
        <v>62</v>
      </c>
      <c r="AC106" t="s">
        <v>112</v>
      </c>
      <c r="AD106" t="b">
        <v>1</v>
      </c>
      <c r="AE106" t="b">
        <v>1</v>
      </c>
      <c r="AF106" t="b">
        <v>1</v>
      </c>
      <c r="AG106" t="b">
        <v>0</v>
      </c>
      <c r="AH106">
        <v>0</v>
      </c>
      <c r="AI106">
        <v>0</v>
      </c>
      <c r="AJ106">
        <v>6.28318530717958</v>
      </c>
      <c r="AK106">
        <v>0.01</v>
      </c>
      <c r="AL106" t="s">
        <v>79</v>
      </c>
      <c r="AM106" t="str">
        <f t="shared" si="1"/>
        <v>ACL2024-01-20 10-14-53</v>
      </c>
    </row>
    <row r="107" spans="1:39" x14ac:dyDescent="0.25">
      <c r="A107">
        <v>106</v>
      </c>
      <c r="B107" t="s">
        <v>43</v>
      </c>
      <c r="C107">
        <v>10</v>
      </c>
      <c r="D107">
        <v>2</v>
      </c>
      <c r="E107">
        <v>2</v>
      </c>
      <c r="F107">
        <v>380</v>
      </c>
      <c r="G107">
        <v>499</v>
      </c>
      <c r="H107" s="91">
        <v>100</v>
      </c>
      <c r="I107" s="91">
        <v>97.9166666666666</v>
      </c>
      <c r="J107" s="92">
        <v>86.2</v>
      </c>
      <c r="K107" s="225">
        <v>90.3</v>
      </c>
      <c r="L107" s="222">
        <v>96.6666666666666</v>
      </c>
      <c r="M107" s="225">
        <v>95.4166666666666</v>
      </c>
      <c r="N107" s="222">
        <v>85.94</v>
      </c>
      <c r="O107" s="380">
        <v>86.789999999999907</v>
      </c>
      <c r="P107" s="176">
        <v>500</v>
      </c>
      <c r="Q107">
        <v>10</v>
      </c>
      <c r="R107" t="s">
        <v>45</v>
      </c>
      <c r="S107" t="b">
        <v>1</v>
      </c>
      <c r="T107">
        <v>8</v>
      </c>
      <c r="U107" t="b">
        <v>0</v>
      </c>
      <c r="V107" t="s">
        <v>32</v>
      </c>
      <c r="W107" t="s">
        <v>64</v>
      </c>
      <c r="X107" t="s">
        <v>74</v>
      </c>
      <c r="Y107">
        <v>48</v>
      </c>
      <c r="Z107">
        <v>48</v>
      </c>
      <c r="AA107">
        <v>1000</v>
      </c>
      <c r="AB107" t="s">
        <v>62</v>
      </c>
      <c r="AC107" t="s">
        <v>112</v>
      </c>
      <c r="AD107" t="b">
        <v>1</v>
      </c>
      <c r="AE107" t="b">
        <v>1</v>
      </c>
      <c r="AF107" t="b">
        <v>1</v>
      </c>
      <c r="AG107" t="b">
        <v>0</v>
      </c>
      <c r="AH107">
        <v>0</v>
      </c>
      <c r="AI107">
        <v>0</v>
      </c>
      <c r="AJ107">
        <v>6.28318530717958</v>
      </c>
      <c r="AK107">
        <v>0.01</v>
      </c>
      <c r="AL107" t="s">
        <v>79</v>
      </c>
      <c r="AM107" t="str">
        <f t="shared" si="1"/>
        <v>SPCL2024-01-20 10-14-53</v>
      </c>
    </row>
    <row r="108" spans="1:39" x14ac:dyDescent="0.25">
      <c r="A108">
        <v>107</v>
      </c>
      <c r="B108" s="1" t="s">
        <v>44</v>
      </c>
      <c r="C108" s="1">
        <v>10</v>
      </c>
      <c r="D108" s="1">
        <v>0</v>
      </c>
      <c r="E108" s="1">
        <v>9</v>
      </c>
      <c r="F108" s="1">
        <v>47</v>
      </c>
      <c r="G108" s="1">
        <v>499</v>
      </c>
      <c r="H108" s="93">
        <v>100</v>
      </c>
      <c r="I108" s="95">
        <v>95.8333333333333</v>
      </c>
      <c r="J108" s="132">
        <v>89.6</v>
      </c>
      <c r="K108" s="381">
        <v>86.9</v>
      </c>
      <c r="L108" s="224">
        <v>99.7916666666666</v>
      </c>
      <c r="M108" s="382">
        <v>93.75</v>
      </c>
      <c r="N108" s="224">
        <v>87.55</v>
      </c>
      <c r="O108" s="383">
        <v>86.11</v>
      </c>
      <c r="P108" s="178">
        <v>500</v>
      </c>
      <c r="Q108" s="1">
        <v>10</v>
      </c>
      <c r="R108" s="1" t="s">
        <v>45</v>
      </c>
      <c r="S108" s="1" t="b">
        <v>1</v>
      </c>
      <c r="T108" s="1">
        <v>8</v>
      </c>
      <c r="U108" s="1" t="b">
        <v>0</v>
      </c>
      <c r="V108" s="1" t="s">
        <v>32</v>
      </c>
      <c r="W108" s="1" t="s">
        <v>64</v>
      </c>
      <c r="X108" s="1" t="s">
        <v>74</v>
      </c>
      <c r="Y108" s="1">
        <v>48</v>
      </c>
      <c r="Z108" s="1">
        <v>48</v>
      </c>
      <c r="AA108" s="1">
        <v>1000</v>
      </c>
      <c r="AB108" s="1" t="s">
        <v>62</v>
      </c>
      <c r="AC108" s="1" t="s">
        <v>112</v>
      </c>
      <c r="AD108" s="1" t="b">
        <v>1</v>
      </c>
      <c r="AE108" s="1" t="b">
        <v>1</v>
      </c>
      <c r="AF108" s="1" t="b">
        <v>1</v>
      </c>
      <c r="AG108" s="1" t="b">
        <v>0</v>
      </c>
      <c r="AH108" s="1">
        <v>0</v>
      </c>
      <c r="AI108" s="1">
        <v>0</v>
      </c>
      <c r="AJ108" s="1">
        <v>6.28318530717958</v>
      </c>
      <c r="AK108" s="1">
        <v>0.01</v>
      </c>
      <c r="AL108" s="1" t="s">
        <v>79</v>
      </c>
      <c r="AM108" s="1" t="str">
        <f t="shared" si="1"/>
        <v>SPACL2024-01-20 10-14-53</v>
      </c>
    </row>
    <row r="109" spans="1:39" x14ac:dyDescent="0.25">
      <c r="A109" s="2">
        <v>108</v>
      </c>
      <c r="B109" t="s">
        <v>40</v>
      </c>
      <c r="C109">
        <v>10</v>
      </c>
      <c r="D109">
        <v>8</v>
      </c>
      <c r="E109">
        <v>8</v>
      </c>
      <c r="F109">
        <v>15</v>
      </c>
      <c r="G109">
        <v>499</v>
      </c>
      <c r="H109" s="91">
        <v>100</v>
      </c>
      <c r="I109" s="91">
        <v>95.8333333333333</v>
      </c>
      <c r="J109" s="91">
        <v>92.9</v>
      </c>
      <c r="K109" s="225">
        <v>91.3</v>
      </c>
      <c r="L109" s="384">
        <v>92.7083333333333</v>
      </c>
      <c r="M109" s="222">
        <v>90.4166666666666</v>
      </c>
      <c r="N109" s="385">
        <v>85.73</v>
      </c>
      <c r="O109" s="386">
        <v>86.85</v>
      </c>
      <c r="P109" s="176">
        <v>500</v>
      </c>
      <c r="Q109">
        <v>10</v>
      </c>
      <c r="R109" t="s">
        <v>45</v>
      </c>
      <c r="S109" t="b">
        <v>1</v>
      </c>
      <c r="T109">
        <v>8</v>
      </c>
      <c r="U109" t="b">
        <v>0</v>
      </c>
      <c r="V109" t="s">
        <v>32</v>
      </c>
      <c r="W109" t="s">
        <v>64</v>
      </c>
      <c r="X109" t="s">
        <v>74</v>
      </c>
      <c r="Y109">
        <v>48</v>
      </c>
      <c r="Z109">
        <v>48</v>
      </c>
      <c r="AA109">
        <v>1000</v>
      </c>
      <c r="AB109" t="s">
        <v>69</v>
      </c>
      <c r="AC109" t="s">
        <v>112</v>
      </c>
      <c r="AD109" t="b">
        <v>1</v>
      </c>
      <c r="AE109" t="b">
        <v>1</v>
      </c>
      <c r="AF109" t="b">
        <v>1</v>
      </c>
      <c r="AG109" t="b">
        <v>0</v>
      </c>
      <c r="AH109">
        <v>0</v>
      </c>
      <c r="AI109">
        <v>0</v>
      </c>
      <c r="AJ109">
        <v>6.28318530717958</v>
      </c>
      <c r="AK109">
        <v>0.01</v>
      </c>
      <c r="AL109" s="2" t="s">
        <v>80</v>
      </c>
      <c r="AM109" s="2" t="str">
        <f t="shared" si="1"/>
        <v>NCL2024-01-20 10-15-48</v>
      </c>
    </row>
    <row r="110" spans="1:39" x14ac:dyDescent="0.25">
      <c r="A110">
        <v>109</v>
      </c>
      <c r="B110" t="s">
        <v>41</v>
      </c>
      <c r="C110">
        <v>10</v>
      </c>
      <c r="D110">
        <v>4</v>
      </c>
      <c r="E110">
        <v>3</v>
      </c>
      <c r="F110">
        <v>477</v>
      </c>
      <c r="G110">
        <v>499</v>
      </c>
      <c r="H110" s="113">
        <v>93.75</v>
      </c>
      <c r="I110" s="92">
        <v>91.6666666666666</v>
      </c>
      <c r="J110" s="133">
        <v>88.1</v>
      </c>
      <c r="K110" s="222">
        <v>87.9</v>
      </c>
      <c r="L110" s="223">
        <v>89.999999999999901</v>
      </c>
      <c r="M110" s="223">
        <v>89.5833333333333</v>
      </c>
      <c r="N110" s="223">
        <v>84</v>
      </c>
      <c r="O110" s="223">
        <v>85.34</v>
      </c>
      <c r="P110" s="176">
        <v>500</v>
      </c>
      <c r="Q110">
        <v>10</v>
      </c>
      <c r="R110" t="s">
        <v>45</v>
      </c>
      <c r="S110" t="b">
        <v>1</v>
      </c>
      <c r="T110">
        <v>8</v>
      </c>
      <c r="U110" t="b">
        <v>0</v>
      </c>
      <c r="V110" t="s">
        <v>32</v>
      </c>
      <c r="W110" t="s">
        <v>64</v>
      </c>
      <c r="X110" t="s">
        <v>74</v>
      </c>
      <c r="Y110">
        <v>48</v>
      </c>
      <c r="Z110">
        <v>48</v>
      </c>
      <c r="AA110">
        <v>1000</v>
      </c>
      <c r="AB110" t="s">
        <v>69</v>
      </c>
      <c r="AC110" t="s">
        <v>112</v>
      </c>
      <c r="AD110" t="b">
        <v>1</v>
      </c>
      <c r="AE110" t="b">
        <v>1</v>
      </c>
      <c r="AF110" t="b">
        <v>1</v>
      </c>
      <c r="AG110" t="b">
        <v>0</v>
      </c>
      <c r="AH110">
        <v>0</v>
      </c>
      <c r="AI110">
        <v>0</v>
      </c>
      <c r="AJ110">
        <v>6.28318530717958</v>
      </c>
      <c r="AK110">
        <v>0.01</v>
      </c>
      <c r="AL110" t="s">
        <v>80</v>
      </c>
      <c r="AM110" t="str">
        <f t="shared" si="1"/>
        <v>CL2024-01-20 10-15-48</v>
      </c>
    </row>
    <row r="111" spans="1:39" x14ac:dyDescent="0.25">
      <c r="A111">
        <v>110</v>
      </c>
      <c r="B111" t="s">
        <v>42</v>
      </c>
      <c r="C111">
        <v>10</v>
      </c>
      <c r="D111">
        <v>0</v>
      </c>
      <c r="E111">
        <v>8</v>
      </c>
      <c r="F111">
        <v>385</v>
      </c>
      <c r="G111">
        <v>499</v>
      </c>
      <c r="H111" s="91">
        <v>100</v>
      </c>
      <c r="I111" s="92">
        <v>91.6666666666666</v>
      </c>
      <c r="J111" s="141">
        <v>91.7</v>
      </c>
      <c r="K111" s="223">
        <v>86.7</v>
      </c>
      <c r="L111" s="263">
        <v>97.0833333333333</v>
      </c>
      <c r="M111" s="334">
        <v>90.8333333333333</v>
      </c>
      <c r="N111" s="387">
        <v>89.15</v>
      </c>
      <c r="O111" s="264">
        <v>87.869999999999905</v>
      </c>
      <c r="P111" s="176">
        <v>500</v>
      </c>
      <c r="Q111">
        <v>10</v>
      </c>
      <c r="R111" t="s">
        <v>45</v>
      </c>
      <c r="S111" t="b">
        <v>1</v>
      </c>
      <c r="T111">
        <v>8</v>
      </c>
      <c r="U111" t="b">
        <v>0</v>
      </c>
      <c r="V111" t="s">
        <v>32</v>
      </c>
      <c r="W111" t="s">
        <v>64</v>
      </c>
      <c r="X111" t="s">
        <v>74</v>
      </c>
      <c r="Y111">
        <v>48</v>
      </c>
      <c r="Z111">
        <v>48</v>
      </c>
      <c r="AA111">
        <v>1000</v>
      </c>
      <c r="AB111" t="s">
        <v>69</v>
      </c>
      <c r="AC111" t="s">
        <v>112</v>
      </c>
      <c r="AD111" t="b">
        <v>1</v>
      </c>
      <c r="AE111" t="b">
        <v>1</v>
      </c>
      <c r="AF111" t="b">
        <v>1</v>
      </c>
      <c r="AG111" t="b">
        <v>0</v>
      </c>
      <c r="AH111">
        <v>0</v>
      </c>
      <c r="AI111">
        <v>0</v>
      </c>
      <c r="AJ111">
        <v>6.28318530717958</v>
      </c>
      <c r="AK111">
        <v>0.01</v>
      </c>
      <c r="AL111" t="s">
        <v>80</v>
      </c>
      <c r="AM111" t="str">
        <f t="shared" si="1"/>
        <v>ACL2024-01-20 10-15-48</v>
      </c>
    </row>
    <row r="112" spans="1:39" x14ac:dyDescent="0.25">
      <c r="A112">
        <v>111</v>
      </c>
      <c r="B112" t="s">
        <v>43</v>
      </c>
      <c r="C112">
        <v>10</v>
      </c>
      <c r="D112">
        <v>5</v>
      </c>
      <c r="E112">
        <v>7</v>
      </c>
      <c r="F112">
        <v>424</v>
      </c>
      <c r="G112">
        <v>499</v>
      </c>
      <c r="H112" s="102">
        <v>97.9166666666666</v>
      </c>
      <c r="I112" s="110">
        <v>93.75</v>
      </c>
      <c r="J112" s="90">
        <v>91.3</v>
      </c>
      <c r="K112" s="225">
        <v>91.3</v>
      </c>
      <c r="L112" s="222">
        <v>94.375</v>
      </c>
      <c r="M112" s="225">
        <v>92.2916666666666</v>
      </c>
      <c r="N112" s="222">
        <v>87.94</v>
      </c>
      <c r="O112" s="225">
        <v>87.99</v>
      </c>
      <c r="P112" s="176">
        <v>500</v>
      </c>
      <c r="Q112">
        <v>10</v>
      </c>
      <c r="R112" t="s">
        <v>45</v>
      </c>
      <c r="S112" t="b">
        <v>1</v>
      </c>
      <c r="T112">
        <v>8</v>
      </c>
      <c r="U112" t="b">
        <v>0</v>
      </c>
      <c r="V112" t="s">
        <v>32</v>
      </c>
      <c r="W112" t="s">
        <v>64</v>
      </c>
      <c r="X112" t="s">
        <v>74</v>
      </c>
      <c r="Y112">
        <v>48</v>
      </c>
      <c r="Z112">
        <v>48</v>
      </c>
      <c r="AA112">
        <v>1000</v>
      </c>
      <c r="AB112" t="s">
        <v>69</v>
      </c>
      <c r="AC112" t="s">
        <v>112</v>
      </c>
      <c r="AD112" t="b">
        <v>1</v>
      </c>
      <c r="AE112" t="b">
        <v>1</v>
      </c>
      <c r="AF112" t="b">
        <v>1</v>
      </c>
      <c r="AG112" t="b">
        <v>0</v>
      </c>
      <c r="AH112">
        <v>0</v>
      </c>
      <c r="AI112">
        <v>0</v>
      </c>
      <c r="AJ112">
        <v>6.28318530717958</v>
      </c>
      <c r="AK112">
        <v>0.01</v>
      </c>
      <c r="AL112" t="s">
        <v>80</v>
      </c>
      <c r="AM112" t="str">
        <f t="shared" si="1"/>
        <v>SPCL2024-01-20 10-15-48</v>
      </c>
    </row>
    <row r="113" spans="1:39" x14ac:dyDescent="0.25">
      <c r="A113">
        <v>112</v>
      </c>
      <c r="B113" t="s">
        <v>44</v>
      </c>
      <c r="C113">
        <v>10</v>
      </c>
      <c r="D113">
        <v>0</v>
      </c>
      <c r="E113">
        <v>2</v>
      </c>
      <c r="F113">
        <v>122</v>
      </c>
      <c r="G113">
        <v>499</v>
      </c>
      <c r="H113" s="93">
        <v>100</v>
      </c>
      <c r="I113" s="95">
        <v>91.6666666666666</v>
      </c>
      <c r="J113" s="95">
        <v>87.4</v>
      </c>
      <c r="K113" s="388">
        <v>87.6</v>
      </c>
      <c r="L113" s="224">
        <v>100</v>
      </c>
      <c r="M113" s="389">
        <v>89.999999999999901</v>
      </c>
      <c r="N113" s="224">
        <v>89.809999999999903</v>
      </c>
      <c r="O113" s="226">
        <v>87.03</v>
      </c>
      <c r="P113" s="178">
        <v>500</v>
      </c>
      <c r="Q113" s="1">
        <v>10</v>
      </c>
      <c r="R113" s="1" t="s">
        <v>45</v>
      </c>
      <c r="S113" s="1" t="b">
        <v>1</v>
      </c>
      <c r="T113" s="1">
        <v>8</v>
      </c>
      <c r="U113" s="1" t="b">
        <v>0</v>
      </c>
      <c r="V113" s="1" t="s">
        <v>32</v>
      </c>
      <c r="W113" s="1" t="s">
        <v>64</v>
      </c>
      <c r="X113" s="1" t="s">
        <v>74</v>
      </c>
      <c r="Y113" s="1">
        <v>48</v>
      </c>
      <c r="Z113" s="1">
        <v>48</v>
      </c>
      <c r="AA113" s="1">
        <v>1000</v>
      </c>
      <c r="AB113" s="1" t="s">
        <v>69</v>
      </c>
      <c r="AC113" s="1" t="s">
        <v>112</v>
      </c>
      <c r="AD113" s="1" t="b">
        <v>1</v>
      </c>
      <c r="AE113" s="1" t="b">
        <v>1</v>
      </c>
      <c r="AF113" s="1" t="b">
        <v>1</v>
      </c>
      <c r="AG113" s="1" t="b">
        <v>0</v>
      </c>
      <c r="AH113" s="1">
        <v>0</v>
      </c>
      <c r="AI113" s="1">
        <v>0</v>
      </c>
      <c r="AJ113" s="1">
        <v>6.28318530717958</v>
      </c>
      <c r="AK113" s="1">
        <v>0.01</v>
      </c>
      <c r="AL113" s="1" t="s">
        <v>80</v>
      </c>
      <c r="AM113" s="1" t="str">
        <f t="shared" si="1"/>
        <v>SPACL2024-01-20 10-15-48</v>
      </c>
    </row>
    <row r="114" spans="1:39" x14ac:dyDescent="0.25">
      <c r="A114" s="2">
        <v>113</v>
      </c>
      <c r="B114" s="2" t="s">
        <v>40</v>
      </c>
      <c r="C114" s="2">
        <v>10</v>
      </c>
      <c r="D114" s="2">
        <v>3</v>
      </c>
      <c r="E114" s="2">
        <v>6</v>
      </c>
      <c r="F114" s="2">
        <v>100</v>
      </c>
      <c r="G114" s="2">
        <v>499</v>
      </c>
      <c r="H114" s="102">
        <v>97.916666669999998</v>
      </c>
      <c r="I114" s="90">
        <v>89.583333330000002</v>
      </c>
      <c r="J114" s="90">
        <v>84.9</v>
      </c>
      <c r="K114" s="372">
        <v>83.3</v>
      </c>
      <c r="L114" s="335">
        <v>91.458333330000002</v>
      </c>
      <c r="M114" s="379">
        <v>87.708333330000002</v>
      </c>
      <c r="N114" s="222">
        <v>81.680000000000007</v>
      </c>
      <c r="O114" s="225">
        <v>81.88</v>
      </c>
      <c r="P114" s="176">
        <v>500</v>
      </c>
      <c r="Q114">
        <v>10</v>
      </c>
      <c r="R114" t="s">
        <v>45</v>
      </c>
      <c r="S114" t="b">
        <v>1</v>
      </c>
      <c r="T114">
        <v>8</v>
      </c>
      <c r="U114" t="b">
        <v>0</v>
      </c>
      <c r="V114" t="s">
        <v>32</v>
      </c>
      <c r="W114" t="s">
        <v>64</v>
      </c>
      <c r="X114" t="s">
        <v>74</v>
      </c>
      <c r="Y114">
        <v>48</v>
      </c>
      <c r="Z114">
        <v>48</v>
      </c>
      <c r="AA114">
        <v>1000</v>
      </c>
      <c r="AB114" t="s">
        <v>69</v>
      </c>
      <c r="AC114" t="s">
        <v>112</v>
      </c>
      <c r="AD114" t="b">
        <v>0</v>
      </c>
      <c r="AE114" t="b">
        <v>0</v>
      </c>
      <c r="AF114" t="b">
        <v>1</v>
      </c>
      <c r="AG114" t="b">
        <v>0</v>
      </c>
      <c r="AH114">
        <v>0</v>
      </c>
      <c r="AI114">
        <v>0</v>
      </c>
      <c r="AJ114">
        <v>6.28318530717958</v>
      </c>
      <c r="AK114">
        <v>0.01</v>
      </c>
      <c r="AL114" s="2" t="s">
        <v>81</v>
      </c>
      <c r="AM114" s="2" t="str">
        <f t="shared" si="1"/>
        <v>NCL2024-01-20 11-23-59</v>
      </c>
    </row>
    <row r="115" spans="1:39" x14ac:dyDescent="0.25">
      <c r="A115">
        <v>114</v>
      </c>
      <c r="B115" t="s">
        <v>41</v>
      </c>
      <c r="C115">
        <v>10</v>
      </c>
      <c r="D115">
        <v>1</v>
      </c>
      <c r="E115">
        <v>1</v>
      </c>
      <c r="F115">
        <v>450</v>
      </c>
      <c r="G115">
        <v>499</v>
      </c>
      <c r="H115" s="92">
        <v>89.583333330000002</v>
      </c>
      <c r="I115" s="90">
        <v>89.583333330000002</v>
      </c>
      <c r="J115" s="92">
        <v>81.3</v>
      </c>
      <c r="K115" s="390">
        <v>82</v>
      </c>
      <c r="L115" s="223">
        <v>83.958333330000002</v>
      </c>
      <c r="M115" s="223">
        <v>83.125</v>
      </c>
      <c r="N115" s="223">
        <v>76.63</v>
      </c>
      <c r="O115" s="223">
        <v>78.36</v>
      </c>
      <c r="P115" s="176">
        <v>500</v>
      </c>
      <c r="Q115">
        <v>10</v>
      </c>
      <c r="R115" t="s">
        <v>45</v>
      </c>
      <c r="S115" t="b">
        <v>1</v>
      </c>
      <c r="T115">
        <v>8</v>
      </c>
      <c r="U115" t="b">
        <v>0</v>
      </c>
      <c r="V115" t="s">
        <v>32</v>
      </c>
      <c r="W115" t="s">
        <v>64</v>
      </c>
      <c r="X115" t="s">
        <v>74</v>
      </c>
      <c r="Y115">
        <v>48</v>
      </c>
      <c r="Z115">
        <v>48</v>
      </c>
      <c r="AA115">
        <v>1000</v>
      </c>
      <c r="AB115" t="s">
        <v>69</v>
      </c>
      <c r="AC115" t="s">
        <v>112</v>
      </c>
      <c r="AD115" t="b">
        <v>0</v>
      </c>
      <c r="AE115" t="b">
        <v>0</v>
      </c>
      <c r="AF115" t="b">
        <v>1</v>
      </c>
      <c r="AG115" t="b">
        <v>0</v>
      </c>
      <c r="AH115">
        <v>0</v>
      </c>
      <c r="AI115">
        <v>0</v>
      </c>
      <c r="AJ115">
        <v>6.28318530717958</v>
      </c>
      <c r="AK115">
        <v>0.01</v>
      </c>
      <c r="AL115" t="s">
        <v>81</v>
      </c>
      <c r="AM115" t="str">
        <f t="shared" si="1"/>
        <v>CL2024-01-20 11-23-59</v>
      </c>
    </row>
    <row r="116" spans="1:39" x14ac:dyDescent="0.25">
      <c r="A116">
        <v>115</v>
      </c>
      <c r="B116" t="s">
        <v>42</v>
      </c>
      <c r="C116">
        <v>10</v>
      </c>
      <c r="D116">
        <v>3</v>
      </c>
      <c r="E116">
        <v>2</v>
      </c>
      <c r="F116">
        <v>347</v>
      </c>
      <c r="G116">
        <v>499</v>
      </c>
      <c r="H116" s="91">
        <v>100</v>
      </c>
      <c r="I116" s="91">
        <v>95.833333330000002</v>
      </c>
      <c r="J116" s="91">
        <v>90.1</v>
      </c>
      <c r="K116" s="222">
        <v>82.7</v>
      </c>
      <c r="L116" s="222">
        <v>90.208333330000002</v>
      </c>
      <c r="M116" s="222">
        <v>87.5</v>
      </c>
      <c r="N116" s="351">
        <v>82.94</v>
      </c>
      <c r="O116" s="391">
        <v>81.77</v>
      </c>
      <c r="P116" s="176">
        <v>500</v>
      </c>
      <c r="Q116">
        <v>10</v>
      </c>
      <c r="R116" t="s">
        <v>45</v>
      </c>
      <c r="S116" t="b">
        <v>1</v>
      </c>
      <c r="T116">
        <v>8</v>
      </c>
      <c r="U116" t="b">
        <v>0</v>
      </c>
      <c r="V116" t="s">
        <v>32</v>
      </c>
      <c r="W116" t="s">
        <v>64</v>
      </c>
      <c r="X116" t="s">
        <v>74</v>
      </c>
      <c r="Y116">
        <v>48</v>
      </c>
      <c r="Z116">
        <v>48</v>
      </c>
      <c r="AA116">
        <v>1000</v>
      </c>
      <c r="AB116" t="s">
        <v>69</v>
      </c>
      <c r="AC116" t="s">
        <v>112</v>
      </c>
      <c r="AD116" t="b">
        <v>0</v>
      </c>
      <c r="AE116" t="b">
        <v>0</v>
      </c>
      <c r="AF116" t="b">
        <v>1</v>
      </c>
      <c r="AG116" t="b">
        <v>0</v>
      </c>
      <c r="AH116">
        <v>0</v>
      </c>
      <c r="AI116">
        <v>0</v>
      </c>
      <c r="AJ116">
        <v>6.28318530717958</v>
      </c>
      <c r="AK116">
        <v>0.01</v>
      </c>
      <c r="AL116" t="s">
        <v>81</v>
      </c>
      <c r="AM116" t="str">
        <f t="shared" si="1"/>
        <v>ACL2024-01-20 11-23-59</v>
      </c>
    </row>
    <row r="117" spans="1:39" x14ac:dyDescent="0.25">
      <c r="A117">
        <v>116</v>
      </c>
      <c r="B117" t="s">
        <v>43</v>
      </c>
      <c r="C117">
        <v>10</v>
      </c>
      <c r="D117">
        <v>3</v>
      </c>
      <c r="E117">
        <v>6</v>
      </c>
      <c r="F117">
        <v>436</v>
      </c>
      <c r="G117">
        <v>499</v>
      </c>
      <c r="H117" s="91">
        <v>100</v>
      </c>
      <c r="I117" s="90">
        <v>89.583333330000002</v>
      </c>
      <c r="J117" s="134">
        <v>88.8</v>
      </c>
      <c r="K117" s="225">
        <v>85.5</v>
      </c>
      <c r="L117" s="222">
        <v>90.208333330000002</v>
      </c>
      <c r="M117" s="225">
        <v>88.125</v>
      </c>
      <c r="N117" s="234">
        <v>80.180000000000007</v>
      </c>
      <c r="O117" s="222">
        <v>80.819999999999993</v>
      </c>
      <c r="P117" s="176">
        <v>500</v>
      </c>
      <c r="Q117">
        <v>10</v>
      </c>
      <c r="R117" t="s">
        <v>45</v>
      </c>
      <c r="S117" t="b">
        <v>1</v>
      </c>
      <c r="T117">
        <v>8</v>
      </c>
      <c r="U117" t="b">
        <v>0</v>
      </c>
      <c r="V117" t="s">
        <v>32</v>
      </c>
      <c r="W117" t="s">
        <v>64</v>
      </c>
      <c r="X117" t="s">
        <v>74</v>
      </c>
      <c r="Y117">
        <v>48</v>
      </c>
      <c r="Z117">
        <v>48</v>
      </c>
      <c r="AA117">
        <v>1000</v>
      </c>
      <c r="AB117" t="s">
        <v>69</v>
      </c>
      <c r="AC117" t="s">
        <v>112</v>
      </c>
      <c r="AD117" t="b">
        <v>0</v>
      </c>
      <c r="AE117" t="b">
        <v>0</v>
      </c>
      <c r="AF117" t="b">
        <v>1</v>
      </c>
      <c r="AG117" t="b">
        <v>0</v>
      </c>
      <c r="AH117">
        <v>0</v>
      </c>
      <c r="AI117">
        <v>0</v>
      </c>
      <c r="AJ117">
        <v>6.28318530717958</v>
      </c>
      <c r="AK117">
        <v>0.01</v>
      </c>
      <c r="AL117" t="s">
        <v>81</v>
      </c>
      <c r="AM117" t="str">
        <f t="shared" si="1"/>
        <v>SPCL2024-01-20 11-23-59</v>
      </c>
    </row>
    <row r="118" spans="1:39" x14ac:dyDescent="0.25">
      <c r="A118">
        <v>117</v>
      </c>
      <c r="B118" s="1" t="s">
        <v>44</v>
      </c>
      <c r="C118" s="1">
        <v>10</v>
      </c>
      <c r="D118" s="1">
        <v>0</v>
      </c>
      <c r="E118" s="1">
        <v>9</v>
      </c>
      <c r="F118" s="1">
        <v>81</v>
      </c>
      <c r="G118" s="1">
        <v>499</v>
      </c>
      <c r="H118" s="93">
        <v>100</v>
      </c>
      <c r="I118" s="95">
        <v>85.416666669999998</v>
      </c>
      <c r="J118" s="135">
        <v>82.5</v>
      </c>
      <c r="K118" s="228">
        <v>78.099999999999994</v>
      </c>
      <c r="L118" s="224">
        <v>100</v>
      </c>
      <c r="M118" s="339">
        <v>85.625</v>
      </c>
      <c r="N118" s="224">
        <v>88.55</v>
      </c>
      <c r="O118" s="392">
        <v>78.61</v>
      </c>
      <c r="P118" s="178">
        <v>500</v>
      </c>
      <c r="Q118" s="1">
        <v>10</v>
      </c>
      <c r="R118" s="1" t="s">
        <v>45</v>
      </c>
      <c r="S118" s="1" t="b">
        <v>1</v>
      </c>
      <c r="T118" s="1">
        <v>8</v>
      </c>
      <c r="U118" s="1" t="b">
        <v>0</v>
      </c>
      <c r="V118" s="1" t="s">
        <v>32</v>
      </c>
      <c r="W118" s="1" t="s">
        <v>64</v>
      </c>
      <c r="X118" s="1" t="s">
        <v>74</v>
      </c>
      <c r="Y118" s="1">
        <v>48</v>
      </c>
      <c r="Z118" s="1">
        <v>48</v>
      </c>
      <c r="AA118" s="1">
        <v>1000</v>
      </c>
      <c r="AB118" s="1" t="s">
        <v>69</v>
      </c>
      <c r="AC118" s="1" t="s">
        <v>112</v>
      </c>
      <c r="AD118" s="1" t="b">
        <v>0</v>
      </c>
      <c r="AE118" s="1" t="b">
        <v>0</v>
      </c>
      <c r="AF118" s="1" t="b">
        <v>1</v>
      </c>
      <c r="AG118" s="1" t="b">
        <v>0</v>
      </c>
      <c r="AH118" s="1">
        <v>0</v>
      </c>
      <c r="AI118" s="1">
        <v>0</v>
      </c>
      <c r="AJ118" s="1">
        <v>6.28318530717958</v>
      </c>
      <c r="AK118" s="1">
        <v>0.01</v>
      </c>
      <c r="AL118" s="1" t="s">
        <v>81</v>
      </c>
      <c r="AM118" s="1" t="str">
        <f t="shared" si="1"/>
        <v>SPACL2024-01-20 11-23-59</v>
      </c>
    </row>
    <row r="119" spans="1:39" x14ac:dyDescent="0.25">
      <c r="A119" s="2">
        <v>118</v>
      </c>
      <c r="B119" s="2" t="s">
        <v>40</v>
      </c>
      <c r="C119" s="2">
        <v>10</v>
      </c>
      <c r="D119" s="2">
        <v>8</v>
      </c>
      <c r="E119" s="2">
        <v>8</v>
      </c>
      <c r="F119" s="2">
        <v>243</v>
      </c>
      <c r="G119" s="2">
        <v>499</v>
      </c>
      <c r="H119" s="90">
        <v>97.916666669999998</v>
      </c>
      <c r="I119" s="91">
        <v>97.916666669999998</v>
      </c>
      <c r="J119" s="162">
        <v>90.4</v>
      </c>
      <c r="K119" s="225">
        <v>93.9</v>
      </c>
      <c r="L119" s="222">
        <v>92.291666669999998</v>
      </c>
      <c r="M119" s="222">
        <v>91.458333330000002</v>
      </c>
      <c r="N119" s="222">
        <v>83.16</v>
      </c>
      <c r="O119" s="393">
        <v>83.92</v>
      </c>
      <c r="P119" s="176">
        <v>500</v>
      </c>
      <c r="Q119">
        <v>10</v>
      </c>
      <c r="R119" t="s">
        <v>45</v>
      </c>
      <c r="S119" t="b">
        <v>1</v>
      </c>
      <c r="T119">
        <v>8</v>
      </c>
      <c r="U119" t="b">
        <v>0</v>
      </c>
      <c r="V119" t="s">
        <v>32</v>
      </c>
      <c r="W119" t="s">
        <v>64</v>
      </c>
      <c r="X119" t="s">
        <v>74</v>
      </c>
      <c r="Y119">
        <v>48</v>
      </c>
      <c r="Z119">
        <v>48</v>
      </c>
      <c r="AA119">
        <v>1000</v>
      </c>
      <c r="AB119" t="s">
        <v>62</v>
      </c>
      <c r="AC119" t="s">
        <v>112</v>
      </c>
      <c r="AD119" t="b">
        <v>0</v>
      </c>
      <c r="AE119" t="b">
        <v>0</v>
      </c>
      <c r="AF119" t="b">
        <v>1</v>
      </c>
      <c r="AG119" t="b">
        <v>0</v>
      </c>
      <c r="AH119">
        <v>0</v>
      </c>
      <c r="AI119">
        <v>0</v>
      </c>
      <c r="AJ119">
        <v>6.28318530717958</v>
      </c>
      <c r="AK119">
        <v>0.01</v>
      </c>
      <c r="AL119" s="2" t="s">
        <v>82</v>
      </c>
      <c r="AM119" s="2" t="str">
        <f t="shared" si="1"/>
        <v>NCL2024-01-20 11-50-23</v>
      </c>
    </row>
    <row r="120" spans="1:39" x14ac:dyDescent="0.25">
      <c r="A120">
        <v>119</v>
      </c>
      <c r="B120" t="s">
        <v>41</v>
      </c>
      <c r="C120">
        <v>10</v>
      </c>
      <c r="D120">
        <v>2</v>
      </c>
      <c r="E120">
        <v>4</v>
      </c>
      <c r="F120">
        <v>407</v>
      </c>
      <c r="G120">
        <v>499</v>
      </c>
      <c r="H120" s="92">
        <v>93.75</v>
      </c>
      <c r="I120" s="92">
        <v>91.666666669999998</v>
      </c>
      <c r="J120" s="92">
        <v>82</v>
      </c>
      <c r="K120" s="394">
        <v>84.1</v>
      </c>
      <c r="L120" s="223">
        <v>91.875</v>
      </c>
      <c r="M120" s="222">
        <v>91.458333330000002</v>
      </c>
      <c r="N120" s="223">
        <v>82.14</v>
      </c>
      <c r="O120" s="223">
        <v>82.89</v>
      </c>
      <c r="P120" s="176">
        <v>500</v>
      </c>
      <c r="Q120">
        <v>10</v>
      </c>
      <c r="R120" t="s">
        <v>45</v>
      </c>
      <c r="S120" t="b">
        <v>1</v>
      </c>
      <c r="T120">
        <v>8</v>
      </c>
      <c r="U120" t="b">
        <v>0</v>
      </c>
      <c r="V120" t="s">
        <v>32</v>
      </c>
      <c r="W120" t="s">
        <v>64</v>
      </c>
      <c r="X120" t="s">
        <v>74</v>
      </c>
      <c r="Y120">
        <v>48</v>
      </c>
      <c r="Z120">
        <v>48</v>
      </c>
      <c r="AA120">
        <v>1000</v>
      </c>
      <c r="AB120" t="s">
        <v>62</v>
      </c>
      <c r="AC120" t="s">
        <v>112</v>
      </c>
      <c r="AD120" t="b">
        <v>0</v>
      </c>
      <c r="AE120" t="b">
        <v>0</v>
      </c>
      <c r="AF120" t="b">
        <v>1</v>
      </c>
      <c r="AG120" t="b">
        <v>0</v>
      </c>
      <c r="AH120">
        <v>0</v>
      </c>
      <c r="AI120">
        <v>0</v>
      </c>
      <c r="AJ120">
        <v>6.28318530717958</v>
      </c>
      <c r="AK120">
        <v>0.01</v>
      </c>
      <c r="AL120" t="s">
        <v>82</v>
      </c>
      <c r="AM120" t="str">
        <f t="shared" si="1"/>
        <v>CL2024-01-20 11-50-23</v>
      </c>
    </row>
    <row r="121" spans="1:39" x14ac:dyDescent="0.25">
      <c r="A121">
        <v>120</v>
      </c>
      <c r="B121" t="s">
        <v>42</v>
      </c>
      <c r="C121">
        <v>10</v>
      </c>
      <c r="D121">
        <v>0</v>
      </c>
      <c r="E121">
        <v>0</v>
      </c>
      <c r="F121">
        <v>306</v>
      </c>
      <c r="G121">
        <v>499</v>
      </c>
      <c r="H121" s="90">
        <v>97.916666669999998</v>
      </c>
      <c r="I121" s="91">
        <v>97.916666669999998</v>
      </c>
      <c r="J121" s="90">
        <v>90.1</v>
      </c>
      <c r="K121" s="372">
        <v>91</v>
      </c>
      <c r="L121" s="395">
        <v>96.458333330000002</v>
      </c>
      <c r="M121" s="225">
        <v>94.375</v>
      </c>
      <c r="N121" s="396">
        <v>89.8</v>
      </c>
      <c r="O121" s="225">
        <v>87.51</v>
      </c>
      <c r="P121" s="176">
        <v>500</v>
      </c>
      <c r="Q121">
        <v>10</v>
      </c>
      <c r="R121" t="s">
        <v>45</v>
      </c>
      <c r="S121" t="b">
        <v>1</v>
      </c>
      <c r="T121">
        <v>8</v>
      </c>
      <c r="U121" t="b">
        <v>0</v>
      </c>
      <c r="V121" t="s">
        <v>32</v>
      </c>
      <c r="W121" t="s">
        <v>64</v>
      </c>
      <c r="X121" t="s">
        <v>74</v>
      </c>
      <c r="Y121">
        <v>48</v>
      </c>
      <c r="Z121">
        <v>48</v>
      </c>
      <c r="AA121">
        <v>1000</v>
      </c>
      <c r="AB121" t="s">
        <v>62</v>
      </c>
      <c r="AC121" t="s">
        <v>112</v>
      </c>
      <c r="AD121" t="b">
        <v>0</v>
      </c>
      <c r="AE121" t="b">
        <v>0</v>
      </c>
      <c r="AF121" t="b">
        <v>1</v>
      </c>
      <c r="AG121" t="b">
        <v>0</v>
      </c>
      <c r="AH121">
        <v>0</v>
      </c>
      <c r="AI121">
        <v>0</v>
      </c>
      <c r="AJ121">
        <v>6.28318530717958</v>
      </c>
      <c r="AK121">
        <v>0.01</v>
      </c>
      <c r="AL121" t="s">
        <v>82</v>
      </c>
      <c r="AM121" t="str">
        <f t="shared" si="1"/>
        <v>ACL2024-01-20 11-50-23</v>
      </c>
    </row>
    <row r="122" spans="1:39" x14ac:dyDescent="0.25">
      <c r="A122">
        <v>121</v>
      </c>
      <c r="B122" t="s">
        <v>43</v>
      </c>
      <c r="C122">
        <v>10</v>
      </c>
      <c r="D122">
        <v>8</v>
      </c>
      <c r="E122">
        <v>8</v>
      </c>
      <c r="F122">
        <v>384</v>
      </c>
      <c r="G122">
        <v>499</v>
      </c>
      <c r="H122" s="90">
        <v>97.916666669999998</v>
      </c>
      <c r="I122" s="91">
        <v>97.916666669999998</v>
      </c>
      <c r="J122" s="143">
        <v>89.9</v>
      </c>
      <c r="K122" s="222">
        <v>90.2</v>
      </c>
      <c r="L122" s="223">
        <v>91.875</v>
      </c>
      <c r="M122" s="223">
        <v>90.833333330000002</v>
      </c>
      <c r="N122" s="397">
        <v>82.52</v>
      </c>
      <c r="O122" s="398">
        <v>82.97</v>
      </c>
      <c r="P122" s="176">
        <v>500</v>
      </c>
      <c r="Q122">
        <v>10</v>
      </c>
      <c r="R122" t="s">
        <v>45</v>
      </c>
      <c r="S122" t="b">
        <v>1</v>
      </c>
      <c r="T122">
        <v>8</v>
      </c>
      <c r="U122" t="b">
        <v>0</v>
      </c>
      <c r="V122" t="s">
        <v>32</v>
      </c>
      <c r="W122" t="s">
        <v>64</v>
      </c>
      <c r="X122" t="s">
        <v>74</v>
      </c>
      <c r="Y122">
        <v>48</v>
      </c>
      <c r="Z122">
        <v>48</v>
      </c>
      <c r="AA122">
        <v>1000</v>
      </c>
      <c r="AB122" t="s">
        <v>62</v>
      </c>
      <c r="AC122" t="s">
        <v>112</v>
      </c>
      <c r="AD122" t="b">
        <v>0</v>
      </c>
      <c r="AE122" t="b">
        <v>0</v>
      </c>
      <c r="AF122" t="b">
        <v>1</v>
      </c>
      <c r="AG122" t="b">
        <v>0</v>
      </c>
      <c r="AH122">
        <v>0</v>
      </c>
      <c r="AI122">
        <v>0</v>
      </c>
      <c r="AJ122">
        <v>6.28318530717958</v>
      </c>
      <c r="AK122">
        <v>0.01</v>
      </c>
      <c r="AL122" t="s">
        <v>82</v>
      </c>
      <c r="AM122" t="str">
        <f t="shared" si="1"/>
        <v>SPCL2024-01-20 11-50-23</v>
      </c>
    </row>
    <row r="123" spans="1:39" x14ac:dyDescent="0.25">
      <c r="A123">
        <v>122</v>
      </c>
      <c r="B123" s="1" t="s">
        <v>44</v>
      </c>
      <c r="C123" s="1">
        <v>10</v>
      </c>
      <c r="D123" s="1">
        <v>1</v>
      </c>
      <c r="E123" s="1">
        <v>8</v>
      </c>
      <c r="F123" s="1">
        <v>23</v>
      </c>
      <c r="G123" s="1">
        <v>499</v>
      </c>
      <c r="H123" s="93">
        <v>100</v>
      </c>
      <c r="I123" s="95">
        <v>91.666666669999998</v>
      </c>
      <c r="J123" s="93">
        <v>92.1</v>
      </c>
      <c r="K123" s="228">
        <v>81.8</v>
      </c>
      <c r="L123" s="224">
        <v>98.333333330000002</v>
      </c>
      <c r="M123" s="399">
        <v>91.875</v>
      </c>
      <c r="N123" s="224">
        <v>90.95</v>
      </c>
      <c r="O123" s="226">
        <v>83.88</v>
      </c>
      <c r="P123" s="178">
        <v>500</v>
      </c>
      <c r="Q123" s="1">
        <v>10</v>
      </c>
      <c r="R123" s="1" t="s">
        <v>45</v>
      </c>
      <c r="S123" s="1" t="b">
        <v>1</v>
      </c>
      <c r="T123" s="1">
        <v>8</v>
      </c>
      <c r="U123" s="1" t="b">
        <v>0</v>
      </c>
      <c r="V123" s="1" t="s">
        <v>32</v>
      </c>
      <c r="W123" s="1" t="s">
        <v>64</v>
      </c>
      <c r="X123" s="1" t="s">
        <v>74</v>
      </c>
      <c r="Y123" s="1">
        <v>48</v>
      </c>
      <c r="Z123" s="1">
        <v>48</v>
      </c>
      <c r="AA123" s="1">
        <v>1000</v>
      </c>
      <c r="AB123" s="1" t="s">
        <v>62</v>
      </c>
      <c r="AC123" s="1" t="s">
        <v>112</v>
      </c>
      <c r="AD123" s="1" t="b">
        <v>0</v>
      </c>
      <c r="AE123" s="1" t="b">
        <v>0</v>
      </c>
      <c r="AF123" s="1" t="b">
        <v>1</v>
      </c>
      <c r="AG123" s="1" t="b">
        <v>0</v>
      </c>
      <c r="AH123" s="1">
        <v>0</v>
      </c>
      <c r="AI123" s="1">
        <v>0</v>
      </c>
      <c r="AJ123" s="1">
        <v>6.28318530717958</v>
      </c>
      <c r="AK123" s="1">
        <v>0.01</v>
      </c>
      <c r="AL123" s="1" t="s">
        <v>82</v>
      </c>
      <c r="AM123" s="1" t="str">
        <f t="shared" si="1"/>
        <v>SPACL2024-01-20 11-50-23</v>
      </c>
    </row>
    <row r="124" spans="1:39" x14ac:dyDescent="0.25">
      <c r="A124" s="2">
        <v>123</v>
      </c>
      <c r="B124" s="2" t="s">
        <v>40</v>
      </c>
      <c r="C124" s="2">
        <v>10</v>
      </c>
      <c r="D124" s="2">
        <v>0</v>
      </c>
      <c r="E124" s="2">
        <v>0</v>
      </c>
      <c r="F124" s="2">
        <v>88</v>
      </c>
      <c r="G124" s="2">
        <v>499</v>
      </c>
      <c r="H124" s="94">
        <v>100</v>
      </c>
      <c r="I124" s="94">
        <v>100</v>
      </c>
      <c r="J124" s="89">
        <v>87.3</v>
      </c>
      <c r="K124" s="400">
        <v>85.8</v>
      </c>
      <c r="L124" s="221">
        <v>98.958333330000002</v>
      </c>
      <c r="M124" s="227">
        <v>98.125</v>
      </c>
      <c r="N124" s="401">
        <v>83.88</v>
      </c>
      <c r="O124" s="221">
        <v>84.87</v>
      </c>
      <c r="P124" s="177">
        <v>500</v>
      </c>
      <c r="Q124" s="2">
        <v>10</v>
      </c>
      <c r="R124" s="2" t="s">
        <v>45</v>
      </c>
      <c r="S124" s="2" t="b">
        <v>1</v>
      </c>
      <c r="T124" s="2">
        <v>8</v>
      </c>
      <c r="U124" s="2" t="b">
        <v>0</v>
      </c>
      <c r="V124" s="2" t="s">
        <v>32</v>
      </c>
      <c r="W124" s="2" t="s">
        <v>64</v>
      </c>
      <c r="X124" s="2" t="s">
        <v>38</v>
      </c>
      <c r="Y124" s="2">
        <v>48</v>
      </c>
      <c r="Z124" s="2">
        <v>48</v>
      </c>
      <c r="AA124" s="2">
        <v>1000</v>
      </c>
      <c r="AB124" s="2" t="s">
        <v>69</v>
      </c>
      <c r="AC124" s="2" t="s">
        <v>112</v>
      </c>
      <c r="AD124" s="2" t="b">
        <v>1</v>
      </c>
      <c r="AE124" s="2" t="b">
        <v>1</v>
      </c>
      <c r="AF124" s="2" t="b">
        <v>1</v>
      </c>
      <c r="AG124" s="2" t="b">
        <v>0</v>
      </c>
      <c r="AH124" s="2">
        <v>0</v>
      </c>
      <c r="AI124" s="2">
        <v>0</v>
      </c>
      <c r="AJ124" s="2">
        <v>6.2831853070000001</v>
      </c>
      <c r="AK124" s="2">
        <v>0.01</v>
      </c>
      <c r="AL124" s="2" t="s">
        <v>85</v>
      </c>
      <c r="AM124" s="2" t="str">
        <f t="shared" si="1"/>
        <v>NCL2024-01-21 20-12-59</v>
      </c>
    </row>
    <row r="125" spans="1:39" x14ac:dyDescent="0.25">
      <c r="A125">
        <v>124</v>
      </c>
      <c r="B125" t="s">
        <v>41</v>
      </c>
      <c r="C125">
        <v>10</v>
      </c>
      <c r="D125">
        <v>0</v>
      </c>
      <c r="E125">
        <v>0</v>
      </c>
      <c r="F125">
        <v>421</v>
      </c>
      <c r="G125">
        <v>499</v>
      </c>
      <c r="H125" s="91">
        <v>100</v>
      </c>
      <c r="I125" s="91">
        <v>100</v>
      </c>
      <c r="J125" s="92">
        <v>82.8</v>
      </c>
      <c r="K125" s="223">
        <v>83</v>
      </c>
      <c r="L125" s="223">
        <v>97.083333330000002</v>
      </c>
      <c r="M125" s="223">
        <v>96.041666669999998</v>
      </c>
      <c r="N125" s="223">
        <v>80.709999999999994</v>
      </c>
      <c r="O125" s="223">
        <v>82.03</v>
      </c>
      <c r="P125" s="176">
        <v>500</v>
      </c>
      <c r="Q125">
        <v>10</v>
      </c>
      <c r="R125" t="s">
        <v>45</v>
      </c>
      <c r="S125" t="b">
        <v>1</v>
      </c>
      <c r="T125">
        <v>8</v>
      </c>
      <c r="U125" t="b">
        <v>0</v>
      </c>
      <c r="V125" t="s">
        <v>32</v>
      </c>
      <c r="W125" t="s">
        <v>64</v>
      </c>
      <c r="X125" t="s">
        <v>38</v>
      </c>
      <c r="Y125">
        <v>48</v>
      </c>
      <c r="Z125">
        <v>48</v>
      </c>
      <c r="AA125">
        <v>1000</v>
      </c>
      <c r="AB125" t="s">
        <v>69</v>
      </c>
      <c r="AC125" t="s">
        <v>112</v>
      </c>
      <c r="AD125" t="b">
        <v>1</v>
      </c>
      <c r="AE125" t="b">
        <v>1</v>
      </c>
      <c r="AF125" t="b">
        <v>1</v>
      </c>
      <c r="AG125" t="b">
        <v>0</v>
      </c>
      <c r="AH125">
        <v>0</v>
      </c>
      <c r="AI125">
        <v>0</v>
      </c>
      <c r="AJ125">
        <v>6.2831853070000001</v>
      </c>
      <c r="AK125">
        <v>0.01</v>
      </c>
      <c r="AL125" t="s">
        <v>85</v>
      </c>
      <c r="AM125" t="str">
        <f t="shared" si="1"/>
        <v>CL2024-01-21 20-12-59</v>
      </c>
    </row>
    <row r="126" spans="1:39" x14ac:dyDescent="0.25">
      <c r="A126">
        <v>125</v>
      </c>
      <c r="B126" t="s">
        <v>42</v>
      </c>
      <c r="C126">
        <v>10</v>
      </c>
      <c r="D126">
        <v>0</v>
      </c>
      <c r="E126">
        <v>0</v>
      </c>
      <c r="F126">
        <v>284</v>
      </c>
      <c r="G126">
        <v>499</v>
      </c>
      <c r="H126" s="91">
        <v>100</v>
      </c>
      <c r="I126" s="91">
        <v>100</v>
      </c>
      <c r="J126" s="91">
        <v>88.8</v>
      </c>
      <c r="K126" s="225">
        <v>88.5</v>
      </c>
      <c r="L126" s="225">
        <v>100</v>
      </c>
      <c r="M126" s="288">
        <v>97.916666669999998</v>
      </c>
      <c r="N126" s="225">
        <v>86.85</v>
      </c>
      <c r="O126" s="287">
        <v>85.59</v>
      </c>
      <c r="P126" s="176">
        <v>500</v>
      </c>
      <c r="Q126">
        <v>10</v>
      </c>
      <c r="R126" t="s">
        <v>45</v>
      </c>
      <c r="S126" t="b">
        <v>1</v>
      </c>
      <c r="T126">
        <v>8</v>
      </c>
      <c r="U126" t="b">
        <v>0</v>
      </c>
      <c r="V126" t="s">
        <v>32</v>
      </c>
      <c r="W126" t="s">
        <v>64</v>
      </c>
      <c r="X126" t="s">
        <v>38</v>
      </c>
      <c r="Y126">
        <v>48</v>
      </c>
      <c r="Z126">
        <v>48</v>
      </c>
      <c r="AA126">
        <v>1000</v>
      </c>
      <c r="AB126" t="s">
        <v>69</v>
      </c>
      <c r="AC126" t="s">
        <v>112</v>
      </c>
      <c r="AD126" t="b">
        <v>1</v>
      </c>
      <c r="AE126" t="b">
        <v>1</v>
      </c>
      <c r="AF126" t="b">
        <v>1</v>
      </c>
      <c r="AG126" t="b">
        <v>0</v>
      </c>
      <c r="AH126">
        <v>0</v>
      </c>
      <c r="AI126">
        <v>0</v>
      </c>
      <c r="AJ126">
        <v>6.2831853070000001</v>
      </c>
      <c r="AK126">
        <v>0.01</v>
      </c>
      <c r="AL126" t="s">
        <v>85</v>
      </c>
      <c r="AM126" t="str">
        <f t="shared" si="1"/>
        <v>ACL2024-01-21 20-12-59</v>
      </c>
    </row>
    <row r="127" spans="1:39" x14ac:dyDescent="0.25">
      <c r="A127">
        <v>126</v>
      </c>
      <c r="B127" t="s">
        <v>43</v>
      </c>
      <c r="C127">
        <v>10</v>
      </c>
      <c r="D127">
        <v>6</v>
      </c>
      <c r="E127">
        <v>6</v>
      </c>
      <c r="F127">
        <v>427</v>
      </c>
      <c r="G127">
        <v>499</v>
      </c>
      <c r="H127" s="91">
        <v>100</v>
      </c>
      <c r="I127" s="91">
        <v>100</v>
      </c>
      <c r="J127" s="147">
        <v>83.7</v>
      </c>
      <c r="K127" s="225">
        <v>88.5</v>
      </c>
      <c r="L127" s="402">
        <v>97.916666669999998</v>
      </c>
      <c r="M127" s="222">
        <v>97.5</v>
      </c>
      <c r="N127" s="403">
        <v>81.2</v>
      </c>
      <c r="O127" s="404">
        <v>83.96</v>
      </c>
      <c r="P127" s="176">
        <v>500</v>
      </c>
      <c r="Q127">
        <v>10</v>
      </c>
      <c r="R127" t="s">
        <v>45</v>
      </c>
      <c r="S127" t="b">
        <v>1</v>
      </c>
      <c r="T127">
        <v>8</v>
      </c>
      <c r="U127" t="b">
        <v>0</v>
      </c>
      <c r="V127" t="s">
        <v>32</v>
      </c>
      <c r="W127" t="s">
        <v>64</v>
      </c>
      <c r="X127" t="s">
        <v>38</v>
      </c>
      <c r="Y127">
        <v>48</v>
      </c>
      <c r="Z127">
        <v>48</v>
      </c>
      <c r="AA127">
        <v>1000</v>
      </c>
      <c r="AB127" t="s">
        <v>69</v>
      </c>
      <c r="AC127" t="s">
        <v>112</v>
      </c>
      <c r="AD127" t="b">
        <v>1</v>
      </c>
      <c r="AE127" t="b">
        <v>1</v>
      </c>
      <c r="AF127" t="b">
        <v>1</v>
      </c>
      <c r="AG127" t="b">
        <v>0</v>
      </c>
      <c r="AH127">
        <v>0</v>
      </c>
      <c r="AI127">
        <v>0</v>
      </c>
      <c r="AJ127">
        <v>6.2831853070000001</v>
      </c>
      <c r="AK127">
        <v>0.01</v>
      </c>
      <c r="AL127" t="s">
        <v>85</v>
      </c>
      <c r="AM127" t="str">
        <f t="shared" si="1"/>
        <v>SPCL2024-01-21 20-12-59</v>
      </c>
    </row>
    <row r="128" spans="1:39" x14ac:dyDescent="0.25">
      <c r="A128">
        <v>127</v>
      </c>
      <c r="B128" s="1" t="s">
        <v>44</v>
      </c>
      <c r="C128" s="1">
        <v>10</v>
      </c>
      <c r="D128" s="1">
        <v>0</v>
      </c>
      <c r="E128" s="1">
        <v>0</v>
      </c>
      <c r="F128" s="1">
        <v>36</v>
      </c>
      <c r="G128" s="1">
        <v>499</v>
      </c>
      <c r="H128" s="93">
        <v>100</v>
      </c>
      <c r="I128" s="93">
        <v>100</v>
      </c>
      <c r="J128" s="179">
        <v>88.6</v>
      </c>
      <c r="K128" s="226">
        <v>87.4</v>
      </c>
      <c r="L128" s="224">
        <v>100</v>
      </c>
      <c r="M128" s="226">
        <v>97.5</v>
      </c>
      <c r="N128" s="226">
        <v>83.81</v>
      </c>
      <c r="O128" s="224">
        <v>86.08</v>
      </c>
      <c r="P128" s="178">
        <v>500</v>
      </c>
      <c r="Q128" s="1">
        <v>10</v>
      </c>
      <c r="R128" s="1" t="s">
        <v>45</v>
      </c>
      <c r="S128" s="1" t="b">
        <v>1</v>
      </c>
      <c r="T128" s="1">
        <v>8</v>
      </c>
      <c r="U128" s="1" t="b">
        <v>0</v>
      </c>
      <c r="V128" s="1" t="s">
        <v>32</v>
      </c>
      <c r="W128" s="1" t="s">
        <v>64</v>
      </c>
      <c r="X128" s="1" t="s">
        <v>38</v>
      </c>
      <c r="Y128" s="1">
        <v>48</v>
      </c>
      <c r="Z128" s="1">
        <v>48</v>
      </c>
      <c r="AA128" s="1">
        <v>1000</v>
      </c>
      <c r="AB128" s="1" t="s">
        <v>69</v>
      </c>
      <c r="AC128" s="1" t="s">
        <v>112</v>
      </c>
      <c r="AD128" s="1" t="b">
        <v>1</v>
      </c>
      <c r="AE128" s="1" t="b">
        <v>1</v>
      </c>
      <c r="AF128" s="1" t="b">
        <v>1</v>
      </c>
      <c r="AG128" s="1" t="b">
        <v>0</v>
      </c>
      <c r="AH128" s="1">
        <v>0</v>
      </c>
      <c r="AI128" s="1">
        <v>0</v>
      </c>
      <c r="AJ128" s="1">
        <v>6.2831853070000001</v>
      </c>
      <c r="AK128" s="1">
        <v>0.01</v>
      </c>
      <c r="AL128" s="1" t="s">
        <v>85</v>
      </c>
      <c r="AM128" s="1" t="str">
        <f t="shared" si="1"/>
        <v>SPACL2024-01-21 20-12-59</v>
      </c>
    </row>
    <row r="129" spans="1:39" x14ac:dyDescent="0.25">
      <c r="A129" s="2">
        <v>128</v>
      </c>
      <c r="B129" s="2" t="s">
        <v>40</v>
      </c>
      <c r="C129" s="2">
        <v>10</v>
      </c>
      <c r="D129" s="2">
        <v>0</v>
      </c>
      <c r="E129" s="2">
        <v>1</v>
      </c>
      <c r="F129" s="2">
        <v>64</v>
      </c>
      <c r="G129" s="2">
        <v>499</v>
      </c>
      <c r="H129" s="94">
        <v>100</v>
      </c>
      <c r="I129" s="88">
        <v>87.5</v>
      </c>
      <c r="J129" s="94">
        <v>94.3</v>
      </c>
      <c r="K129" s="405">
        <v>80.3</v>
      </c>
      <c r="L129" s="221">
        <v>93.125</v>
      </c>
      <c r="M129" s="221">
        <v>89.583333330000002</v>
      </c>
      <c r="N129" s="221">
        <v>81.62</v>
      </c>
      <c r="O129" s="406">
        <v>82.89</v>
      </c>
      <c r="P129" s="177">
        <v>500</v>
      </c>
      <c r="Q129" s="2">
        <v>10</v>
      </c>
      <c r="R129" s="2" t="s">
        <v>45</v>
      </c>
      <c r="S129" s="2" t="b">
        <v>1</v>
      </c>
      <c r="T129" s="2">
        <v>8</v>
      </c>
      <c r="U129" s="2" t="b">
        <v>0</v>
      </c>
      <c r="V129" s="2" t="s">
        <v>32</v>
      </c>
      <c r="W129" s="2" t="s">
        <v>66</v>
      </c>
      <c r="X129" s="2" t="s">
        <v>38</v>
      </c>
      <c r="Y129" s="2">
        <v>48</v>
      </c>
      <c r="Z129" s="2">
        <v>48</v>
      </c>
      <c r="AA129" s="2">
        <v>1000</v>
      </c>
      <c r="AB129" s="2" t="s">
        <v>69</v>
      </c>
      <c r="AC129" s="2" t="s">
        <v>112</v>
      </c>
      <c r="AD129" s="2" t="b">
        <v>1</v>
      </c>
      <c r="AE129" s="2" t="b">
        <v>1</v>
      </c>
      <c r="AF129" s="2" t="b">
        <v>1</v>
      </c>
      <c r="AG129" s="2" t="b">
        <v>0</v>
      </c>
      <c r="AH129" s="2">
        <v>0</v>
      </c>
      <c r="AI129" s="2">
        <v>0</v>
      </c>
      <c r="AJ129" s="2">
        <v>6.2831853070000001</v>
      </c>
      <c r="AK129" s="2">
        <v>0.01</v>
      </c>
      <c r="AL129" s="2" t="s">
        <v>86</v>
      </c>
      <c r="AM129" s="2" t="str">
        <f t="shared" si="1"/>
        <v>NCL2024-01-21 20-14-01</v>
      </c>
    </row>
    <row r="130" spans="1:39" x14ac:dyDescent="0.25">
      <c r="A130">
        <v>129</v>
      </c>
      <c r="B130" t="s">
        <v>41</v>
      </c>
      <c r="C130">
        <v>10</v>
      </c>
      <c r="D130">
        <v>9</v>
      </c>
      <c r="E130">
        <v>9</v>
      </c>
      <c r="F130">
        <v>418</v>
      </c>
      <c r="G130">
        <v>499</v>
      </c>
      <c r="H130" s="144">
        <v>93.75</v>
      </c>
      <c r="I130" s="110">
        <v>93.75</v>
      </c>
      <c r="J130" s="90">
        <v>85.2</v>
      </c>
      <c r="K130" s="407">
        <v>85.1</v>
      </c>
      <c r="L130" s="223">
        <v>85.416666669999998</v>
      </c>
      <c r="M130" s="223">
        <v>84.375</v>
      </c>
      <c r="N130" s="223">
        <v>79.06</v>
      </c>
      <c r="O130" s="398">
        <v>78.09</v>
      </c>
      <c r="P130" s="176">
        <v>500</v>
      </c>
      <c r="Q130">
        <v>10</v>
      </c>
      <c r="R130" t="s">
        <v>45</v>
      </c>
      <c r="S130" t="b">
        <v>1</v>
      </c>
      <c r="T130">
        <v>8</v>
      </c>
      <c r="U130" t="b">
        <v>0</v>
      </c>
      <c r="V130" t="s">
        <v>32</v>
      </c>
      <c r="W130" t="s">
        <v>66</v>
      </c>
      <c r="X130" t="s">
        <v>38</v>
      </c>
      <c r="Y130">
        <v>48</v>
      </c>
      <c r="Z130">
        <v>48</v>
      </c>
      <c r="AA130">
        <v>1000</v>
      </c>
      <c r="AB130" t="s">
        <v>69</v>
      </c>
      <c r="AC130" t="s">
        <v>112</v>
      </c>
      <c r="AD130" t="b">
        <v>1</v>
      </c>
      <c r="AE130" t="b">
        <v>1</v>
      </c>
      <c r="AF130" t="b">
        <v>1</v>
      </c>
      <c r="AG130" t="b">
        <v>0</v>
      </c>
      <c r="AH130">
        <v>0</v>
      </c>
      <c r="AI130">
        <v>0</v>
      </c>
      <c r="AJ130">
        <v>6.2831853070000001</v>
      </c>
      <c r="AK130">
        <v>0.01</v>
      </c>
      <c r="AL130" t="s">
        <v>86</v>
      </c>
      <c r="AM130" t="str">
        <f t="shared" ref="AM130:AM185" si="2">_xlfn.CONCAT(B130,AL130)</f>
        <v>CL2024-01-21 20-14-01</v>
      </c>
    </row>
    <row r="131" spans="1:39" x14ac:dyDescent="0.25">
      <c r="A131">
        <v>130</v>
      </c>
      <c r="B131" t="s">
        <v>42</v>
      </c>
      <c r="C131">
        <v>10</v>
      </c>
      <c r="D131">
        <v>1</v>
      </c>
      <c r="E131">
        <v>4</v>
      </c>
      <c r="F131">
        <v>378</v>
      </c>
      <c r="G131">
        <v>499</v>
      </c>
      <c r="H131" s="91">
        <v>100</v>
      </c>
      <c r="I131" s="91">
        <v>95.833333330000002</v>
      </c>
      <c r="J131" s="139">
        <v>87.8</v>
      </c>
      <c r="K131" s="225">
        <v>91.3</v>
      </c>
      <c r="L131" s="284">
        <v>95</v>
      </c>
      <c r="M131" s="225">
        <v>93.333333330000002</v>
      </c>
      <c r="N131" s="408">
        <v>81.849999999999994</v>
      </c>
      <c r="O131" s="225">
        <v>83.4</v>
      </c>
      <c r="P131" s="176">
        <v>500</v>
      </c>
      <c r="Q131">
        <v>10</v>
      </c>
      <c r="R131" t="s">
        <v>45</v>
      </c>
      <c r="S131" t="b">
        <v>1</v>
      </c>
      <c r="T131">
        <v>8</v>
      </c>
      <c r="U131" t="b">
        <v>0</v>
      </c>
      <c r="V131" t="s">
        <v>32</v>
      </c>
      <c r="W131" t="s">
        <v>66</v>
      </c>
      <c r="X131" t="s">
        <v>38</v>
      </c>
      <c r="Y131">
        <v>48</v>
      </c>
      <c r="Z131">
        <v>48</v>
      </c>
      <c r="AA131">
        <v>1000</v>
      </c>
      <c r="AB131" t="s">
        <v>69</v>
      </c>
      <c r="AC131" t="s">
        <v>112</v>
      </c>
      <c r="AD131" t="b">
        <v>1</v>
      </c>
      <c r="AE131" t="b">
        <v>1</v>
      </c>
      <c r="AF131" t="b">
        <v>1</v>
      </c>
      <c r="AG131" t="b">
        <v>0</v>
      </c>
      <c r="AH131">
        <v>0</v>
      </c>
      <c r="AI131">
        <v>0</v>
      </c>
      <c r="AJ131">
        <v>6.2831853070000001</v>
      </c>
      <c r="AK131">
        <v>0.01</v>
      </c>
      <c r="AL131" t="s">
        <v>86</v>
      </c>
      <c r="AM131" t="str">
        <f t="shared" si="2"/>
        <v>ACL2024-01-21 20-14-01</v>
      </c>
    </row>
    <row r="132" spans="1:39" x14ac:dyDescent="0.25">
      <c r="A132">
        <v>131</v>
      </c>
      <c r="B132" t="s">
        <v>43</v>
      </c>
      <c r="C132">
        <v>10</v>
      </c>
      <c r="D132">
        <v>1</v>
      </c>
      <c r="E132">
        <v>1</v>
      </c>
      <c r="F132">
        <v>479</v>
      </c>
      <c r="G132">
        <v>499</v>
      </c>
      <c r="H132" s="92">
        <v>91.666666669999998</v>
      </c>
      <c r="I132" s="90">
        <v>91.666666669999998</v>
      </c>
      <c r="J132" s="92">
        <v>80.7</v>
      </c>
      <c r="K132" s="222">
        <v>81.3</v>
      </c>
      <c r="L132" s="409">
        <v>87.083333330000002</v>
      </c>
      <c r="M132" s="410">
        <v>86.458333330000002</v>
      </c>
      <c r="N132" s="397">
        <v>80.010000000000005</v>
      </c>
      <c r="O132" s="222">
        <v>81</v>
      </c>
      <c r="P132" s="176">
        <v>500</v>
      </c>
      <c r="Q132">
        <v>10</v>
      </c>
      <c r="R132" t="s">
        <v>45</v>
      </c>
      <c r="S132" t="b">
        <v>1</v>
      </c>
      <c r="T132">
        <v>8</v>
      </c>
      <c r="U132" t="b">
        <v>0</v>
      </c>
      <c r="V132" t="s">
        <v>32</v>
      </c>
      <c r="W132" t="s">
        <v>66</v>
      </c>
      <c r="X132" t="s">
        <v>38</v>
      </c>
      <c r="Y132">
        <v>48</v>
      </c>
      <c r="Z132">
        <v>48</v>
      </c>
      <c r="AA132">
        <v>1000</v>
      </c>
      <c r="AB132" t="s">
        <v>69</v>
      </c>
      <c r="AC132" t="s">
        <v>112</v>
      </c>
      <c r="AD132" t="b">
        <v>1</v>
      </c>
      <c r="AE132" t="b">
        <v>1</v>
      </c>
      <c r="AF132" t="b">
        <v>1</v>
      </c>
      <c r="AG132" t="b">
        <v>0</v>
      </c>
      <c r="AH132">
        <v>0</v>
      </c>
      <c r="AI132">
        <v>0</v>
      </c>
      <c r="AJ132">
        <v>6.2831853070000001</v>
      </c>
      <c r="AK132">
        <v>0.01</v>
      </c>
      <c r="AL132" t="s">
        <v>86</v>
      </c>
      <c r="AM132" t="str">
        <f t="shared" si="2"/>
        <v>SPCL2024-01-21 20-14-01</v>
      </c>
    </row>
    <row r="133" spans="1:39" x14ac:dyDescent="0.25">
      <c r="A133">
        <v>132</v>
      </c>
      <c r="B133" s="1" t="s">
        <v>44</v>
      </c>
      <c r="C133" s="1">
        <v>10</v>
      </c>
      <c r="D133" s="1">
        <v>0</v>
      </c>
      <c r="E133" s="1">
        <v>9</v>
      </c>
      <c r="F133" s="1">
        <v>23</v>
      </c>
      <c r="G133" s="1">
        <v>499</v>
      </c>
      <c r="H133" s="93">
        <v>100</v>
      </c>
      <c r="I133" s="96">
        <v>91.666666669999998</v>
      </c>
      <c r="J133" s="180">
        <v>82.4</v>
      </c>
      <c r="K133" s="228">
        <v>74.8</v>
      </c>
      <c r="L133" s="224">
        <v>99.791666669999998</v>
      </c>
      <c r="M133" s="411">
        <v>90.625</v>
      </c>
      <c r="N133" s="224">
        <v>85.43</v>
      </c>
      <c r="O133" s="228">
        <v>77.83</v>
      </c>
      <c r="P133" s="178">
        <v>500</v>
      </c>
      <c r="Q133" s="1">
        <v>10</v>
      </c>
      <c r="R133" s="1" t="s">
        <v>45</v>
      </c>
      <c r="S133" s="1" t="b">
        <v>1</v>
      </c>
      <c r="T133" s="1">
        <v>8</v>
      </c>
      <c r="U133" s="1" t="b">
        <v>0</v>
      </c>
      <c r="V133" s="1" t="s">
        <v>32</v>
      </c>
      <c r="W133" s="1" t="s">
        <v>66</v>
      </c>
      <c r="X133" s="1" t="s">
        <v>38</v>
      </c>
      <c r="Y133" s="1">
        <v>48</v>
      </c>
      <c r="Z133" s="1">
        <v>48</v>
      </c>
      <c r="AA133" s="1">
        <v>1000</v>
      </c>
      <c r="AB133" s="1" t="s">
        <v>69</v>
      </c>
      <c r="AC133" s="1" t="s">
        <v>112</v>
      </c>
      <c r="AD133" s="1" t="b">
        <v>1</v>
      </c>
      <c r="AE133" s="1" t="b">
        <v>1</v>
      </c>
      <c r="AF133" s="1" t="b">
        <v>1</v>
      </c>
      <c r="AG133" s="1" t="b">
        <v>0</v>
      </c>
      <c r="AH133" s="1">
        <v>0</v>
      </c>
      <c r="AI133" s="1">
        <v>0</v>
      </c>
      <c r="AJ133" s="1">
        <v>6.2831853070000001</v>
      </c>
      <c r="AK133" s="1">
        <v>0.01</v>
      </c>
      <c r="AL133" s="1" t="s">
        <v>86</v>
      </c>
      <c r="AM133" s="1" t="str">
        <f t="shared" si="2"/>
        <v>SPACL2024-01-21 20-14-01</v>
      </c>
    </row>
    <row r="134" spans="1:39" x14ac:dyDescent="0.25">
      <c r="A134" s="2">
        <v>133</v>
      </c>
      <c r="B134" s="2" t="s">
        <v>40</v>
      </c>
      <c r="C134" s="2">
        <v>10</v>
      </c>
      <c r="D134" s="2">
        <v>4</v>
      </c>
      <c r="E134" s="2">
        <v>4</v>
      </c>
      <c r="F134" s="2">
        <v>37</v>
      </c>
      <c r="G134" s="2">
        <v>499</v>
      </c>
      <c r="H134" s="89">
        <v>97.916666669999998</v>
      </c>
      <c r="I134" s="94">
        <v>97.916666669999998</v>
      </c>
      <c r="J134" s="89">
        <v>88.1</v>
      </c>
      <c r="K134" s="412">
        <v>86.9</v>
      </c>
      <c r="L134" s="221">
        <v>89.791666669999998</v>
      </c>
      <c r="M134" s="413">
        <v>86.666666669999998</v>
      </c>
      <c r="N134" s="221">
        <v>81.89</v>
      </c>
      <c r="O134" s="221">
        <v>80.48</v>
      </c>
      <c r="P134" s="177">
        <v>500</v>
      </c>
      <c r="Q134" s="2">
        <v>10</v>
      </c>
      <c r="R134" s="2" t="s">
        <v>45</v>
      </c>
      <c r="S134" s="2" t="b">
        <v>1</v>
      </c>
      <c r="T134" s="2">
        <v>8</v>
      </c>
      <c r="U134" s="2" t="b">
        <v>0</v>
      </c>
      <c r="V134" s="2" t="s">
        <v>32</v>
      </c>
      <c r="W134" s="2" t="s">
        <v>66</v>
      </c>
      <c r="X134" s="2" t="s">
        <v>38</v>
      </c>
      <c r="Y134" s="2">
        <v>48</v>
      </c>
      <c r="Z134" s="2">
        <v>48</v>
      </c>
      <c r="AA134" s="2">
        <v>1000</v>
      </c>
      <c r="AB134" s="2" t="s">
        <v>69</v>
      </c>
      <c r="AC134" s="2" t="s">
        <v>112</v>
      </c>
      <c r="AD134" s="2" t="b">
        <v>0</v>
      </c>
      <c r="AE134" s="2" t="b">
        <v>0</v>
      </c>
      <c r="AF134" s="2" t="b">
        <v>1</v>
      </c>
      <c r="AG134" s="2" t="b">
        <v>0</v>
      </c>
      <c r="AH134" s="2">
        <v>0</v>
      </c>
      <c r="AI134" s="2">
        <v>0</v>
      </c>
      <c r="AJ134" s="2">
        <v>6.2831853070000001</v>
      </c>
      <c r="AK134" s="2">
        <v>0.01</v>
      </c>
      <c r="AL134" s="2" t="s">
        <v>87</v>
      </c>
      <c r="AM134" s="2" t="str">
        <f t="shared" si="2"/>
        <v>NCL2024-01-21 21-21-06</v>
      </c>
    </row>
    <row r="135" spans="1:39" x14ac:dyDescent="0.25">
      <c r="A135">
        <v>134</v>
      </c>
      <c r="B135" t="s">
        <v>41</v>
      </c>
      <c r="C135">
        <v>10</v>
      </c>
      <c r="D135">
        <v>1</v>
      </c>
      <c r="E135">
        <v>1</v>
      </c>
      <c r="F135">
        <v>450</v>
      </c>
      <c r="G135">
        <v>499</v>
      </c>
      <c r="H135" s="137">
        <v>95.833333330000002</v>
      </c>
      <c r="I135" s="181">
        <v>95.833333330000002</v>
      </c>
      <c r="J135" s="161">
        <v>84.4</v>
      </c>
      <c r="K135" s="222">
        <v>85.9</v>
      </c>
      <c r="L135" s="223">
        <v>83.333333330000002</v>
      </c>
      <c r="M135" s="223">
        <v>83.125</v>
      </c>
      <c r="N135" s="223">
        <v>77.81</v>
      </c>
      <c r="O135" s="223">
        <v>78.89</v>
      </c>
      <c r="P135" s="176">
        <v>500</v>
      </c>
      <c r="Q135">
        <v>10</v>
      </c>
      <c r="R135" t="s">
        <v>45</v>
      </c>
      <c r="S135" t="b">
        <v>1</v>
      </c>
      <c r="T135">
        <v>8</v>
      </c>
      <c r="U135" t="b">
        <v>0</v>
      </c>
      <c r="V135" t="s">
        <v>32</v>
      </c>
      <c r="W135" t="s">
        <v>66</v>
      </c>
      <c r="X135" t="s">
        <v>38</v>
      </c>
      <c r="Y135">
        <v>48</v>
      </c>
      <c r="Z135">
        <v>48</v>
      </c>
      <c r="AA135">
        <v>1000</v>
      </c>
      <c r="AB135" t="s">
        <v>69</v>
      </c>
      <c r="AC135" t="s">
        <v>112</v>
      </c>
      <c r="AD135" t="b">
        <v>0</v>
      </c>
      <c r="AE135" t="b">
        <v>0</v>
      </c>
      <c r="AF135" t="b">
        <v>1</v>
      </c>
      <c r="AG135" t="b">
        <v>0</v>
      </c>
      <c r="AH135">
        <v>0</v>
      </c>
      <c r="AI135">
        <v>0</v>
      </c>
      <c r="AJ135">
        <v>6.2831853070000001</v>
      </c>
      <c r="AK135">
        <v>0.01</v>
      </c>
      <c r="AL135" t="s">
        <v>87</v>
      </c>
      <c r="AM135" t="str">
        <f t="shared" si="2"/>
        <v>CL2024-01-21 21-21-06</v>
      </c>
    </row>
    <row r="136" spans="1:39" x14ac:dyDescent="0.25">
      <c r="A136">
        <v>135</v>
      </c>
      <c r="B136" t="s">
        <v>42</v>
      </c>
      <c r="C136">
        <v>10</v>
      </c>
      <c r="D136">
        <v>6</v>
      </c>
      <c r="E136">
        <v>2</v>
      </c>
      <c r="F136">
        <v>388</v>
      </c>
      <c r="G136">
        <v>499</v>
      </c>
      <c r="H136" s="91">
        <v>100</v>
      </c>
      <c r="I136" s="90">
        <v>91.666666669999998</v>
      </c>
      <c r="J136" s="182">
        <v>88.3</v>
      </c>
      <c r="K136" s="285">
        <v>84.3</v>
      </c>
      <c r="L136" s="246">
        <v>95</v>
      </c>
      <c r="M136" s="225">
        <v>90</v>
      </c>
      <c r="N136" s="414">
        <v>87.08</v>
      </c>
      <c r="O136" s="225">
        <v>85.2</v>
      </c>
      <c r="P136" s="176">
        <v>500</v>
      </c>
      <c r="Q136">
        <v>10</v>
      </c>
      <c r="R136" t="s">
        <v>45</v>
      </c>
      <c r="S136" t="b">
        <v>1</v>
      </c>
      <c r="T136">
        <v>8</v>
      </c>
      <c r="U136" t="b">
        <v>0</v>
      </c>
      <c r="V136" t="s">
        <v>32</v>
      </c>
      <c r="W136" t="s">
        <v>66</v>
      </c>
      <c r="X136" t="s">
        <v>38</v>
      </c>
      <c r="Y136">
        <v>48</v>
      </c>
      <c r="Z136">
        <v>48</v>
      </c>
      <c r="AA136">
        <v>1000</v>
      </c>
      <c r="AB136" t="s">
        <v>69</v>
      </c>
      <c r="AC136" t="s">
        <v>112</v>
      </c>
      <c r="AD136" t="b">
        <v>0</v>
      </c>
      <c r="AE136" t="b">
        <v>0</v>
      </c>
      <c r="AF136" t="b">
        <v>1</v>
      </c>
      <c r="AG136" t="b">
        <v>0</v>
      </c>
      <c r="AH136">
        <v>0</v>
      </c>
      <c r="AI136">
        <v>0</v>
      </c>
      <c r="AJ136">
        <v>6.2831853070000001</v>
      </c>
      <c r="AK136">
        <v>0.01</v>
      </c>
      <c r="AL136" t="s">
        <v>87</v>
      </c>
      <c r="AM136" t="str">
        <f t="shared" si="2"/>
        <v>ACL2024-01-21 21-21-06</v>
      </c>
    </row>
    <row r="137" spans="1:39" x14ac:dyDescent="0.25">
      <c r="A137">
        <v>136</v>
      </c>
      <c r="B137" t="s">
        <v>43</v>
      </c>
      <c r="C137">
        <v>10</v>
      </c>
      <c r="D137">
        <v>4</v>
      </c>
      <c r="E137">
        <v>1</v>
      </c>
      <c r="F137">
        <v>453</v>
      </c>
      <c r="G137">
        <v>499</v>
      </c>
      <c r="H137" s="92">
        <v>93.75</v>
      </c>
      <c r="I137" s="90">
        <v>91.666666669999998</v>
      </c>
      <c r="J137" s="92">
        <v>84</v>
      </c>
      <c r="K137" s="225">
        <v>88</v>
      </c>
      <c r="L137" s="415">
        <v>86.666666669999998</v>
      </c>
      <c r="M137" s="222">
        <v>84.166666669999998</v>
      </c>
      <c r="N137" s="276">
        <v>78.67</v>
      </c>
      <c r="O137" s="416">
        <v>79.569999999999993</v>
      </c>
      <c r="P137" s="176">
        <v>500</v>
      </c>
      <c r="Q137">
        <v>10</v>
      </c>
      <c r="R137" t="s">
        <v>45</v>
      </c>
      <c r="S137" t="b">
        <v>1</v>
      </c>
      <c r="T137">
        <v>8</v>
      </c>
      <c r="U137" t="b">
        <v>0</v>
      </c>
      <c r="V137" t="s">
        <v>32</v>
      </c>
      <c r="W137" t="s">
        <v>66</v>
      </c>
      <c r="X137" t="s">
        <v>38</v>
      </c>
      <c r="Y137">
        <v>48</v>
      </c>
      <c r="Z137">
        <v>48</v>
      </c>
      <c r="AA137">
        <v>1000</v>
      </c>
      <c r="AB137" t="s">
        <v>69</v>
      </c>
      <c r="AC137" t="s">
        <v>112</v>
      </c>
      <c r="AD137" t="b">
        <v>0</v>
      </c>
      <c r="AE137" t="b">
        <v>0</v>
      </c>
      <c r="AF137" t="b">
        <v>1</v>
      </c>
      <c r="AG137" t="b">
        <v>0</v>
      </c>
      <c r="AH137">
        <v>0</v>
      </c>
      <c r="AI137">
        <v>0</v>
      </c>
      <c r="AJ137">
        <v>6.2831853070000001</v>
      </c>
      <c r="AK137">
        <v>0.01</v>
      </c>
      <c r="AL137" t="s">
        <v>87</v>
      </c>
      <c r="AM137" t="str">
        <f t="shared" si="2"/>
        <v>SPCL2024-01-21 21-21-06</v>
      </c>
    </row>
    <row r="138" spans="1:39" x14ac:dyDescent="0.25">
      <c r="A138">
        <v>137</v>
      </c>
      <c r="B138" s="1" t="s">
        <v>44</v>
      </c>
      <c r="C138" s="1">
        <v>10</v>
      </c>
      <c r="D138" s="1">
        <v>0</v>
      </c>
      <c r="E138" s="1">
        <v>9</v>
      </c>
      <c r="F138" s="1">
        <v>92</v>
      </c>
      <c r="G138" s="1">
        <v>499</v>
      </c>
      <c r="H138" s="93">
        <v>100</v>
      </c>
      <c r="I138" s="95">
        <v>87.5</v>
      </c>
      <c r="J138" s="93">
        <v>90</v>
      </c>
      <c r="K138" s="228">
        <v>83.5</v>
      </c>
      <c r="L138" s="224">
        <v>99.791666669999998</v>
      </c>
      <c r="M138" s="417">
        <v>83.958333330000002</v>
      </c>
      <c r="N138" s="224">
        <v>89.06</v>
      </c>
      <c r="O138" s="418">
        <v>80.58</v>
      </c>
      <c r="P138" s="178">
        <v>500</v>
      </c>
      <c r="Q138" s="1">
        <v>10</v>
      </c>
      <c r="R138" s="1" t="s">
        <v>45</v>
      </c>
      <c r="S138" s="1" t="b">
        <v>1</v>
      </c>
      <c r="T138" s="1">
        <v>8</v>
      </c>
      <c r="U138" s="1" t="b">
        <v>0</v>
      </c>
      <c r="V138" s="1" t="s">
        <v>32</v>
      </c>
      <c r="W138" s="1" t="s">
        <v>66</v>
      </c>
      <c r="X138" s="1" t="s">
        <v>38</v>
      </c>
      <c r="Y138" s="1">
        <v>48</v>
      </c>
      <c r="Z138" s="1">
        <v>48</v>
      </c>
      <c r="AA138" s="1">
        <v>1000</v>
      </c>
      <c r="AB138" s="1" t="s">
        <v>69</v>
      </c>
      <c r="AC138" s="1" t="s">
        <v>112</v>
      </c>
      <c r="AD138" s="1" t="b">
        <v>0</v>
      </c>
      <c r="AE138" s="1" t="b">
        <v>0</v>
      </c>
      <c r="AF138" s="1" t="b">
        <v>1</v>
      </c>
      <c r="AG138" s="1" t="b">
        <v>0</v>
      </c>
      <c r="AH138" s="1">
        <v>0</v>
      </c>
      <c r="AI138" s="1">
        <v>0</v>
      </c>
      <c r="AJ138" s="1">
        <v>6.2831853070000001</v>
      </c>
      <c r="AK138" s="1">
        <v>0.01</v>
      </c>
      <c r="AL138" s="1" t="s">
        <v>87</v>
      </c>
      <c r="AM138" s="1" t="str">
        <f t="shared" si="2"/>
        <v>SPACL2024-01-21 21-21-06</v>
      </c>
    </row>
    <row r="139" spans="1:39" x14ac:dyDescent="0.25">
      <c r="A139" s="2">
        <v>138</v>
      </c>
      <c r="B139" s="2" t="s">
        <v>40</v>
      </c>
      <c r="C139" s="2">
        <v>10</v>
      </c>
      <c r="D139" s="2">
        <v>3</v>
      </c>
      <c r="E139" s="2">
        <v>1</v>
      </c>
      <c r="F139" s="2">
        <v>90</v>
      </c>
      <c r="G139" s="2">
        <v>499</v>
      </c>
      <c r="H139" s="89">
        <v>95.833333330000002</v>
      </c>
      <c r="I139" s="183">
        <v>87.5</v>
      </c>
      <c r="J139" s="88">
        <v>85.1</v>
      </c>
      <c r="K139" s="221">
        <v>85.3</v>
      </c>
      <c r="L139" s="221">
        <v>88.125</v>
      </c>
      <c r="M139" s="249">
        <v>85.416666669999998</v>
      </c>
      <c r="N139" s="419">
        <v>81.17</v>
      </c>
      <c r="O139" s="420">
        <v>84.33</v>
      </c>
      <c r="P139" s="177">
        <v>500</v>
      </c>
      <c r="Q139" s="2">
        <v>10</v>
      </c>
      <c r="R139" s="2" t="s">
        <v>45</v>
      </c>
      <c r="S139" s="2" t="b">
        <v>1</v>
      </c>
      <c r="T139" s="2">
        <v>8</v>
      </c>
      <c r="U139" s="2" t="b">
        <v>0</v>
      </c>
      <c r="V139" s="2" t="s">
        <v>32</v>
      </c>
      <c r="W139" s="2" t="s">
        <v>64</v>
      </c>
      <c r="X139" s="2" t="s">
        <v>38</v>
      </c>
      <c r="Y139" s="2">
        <v>48</v>
      </c>
      <c r="Z139" s="2">
        <v>48</v>
      </c>
      <c r="AA139" s="2">
        <v>1000</v>
      </c>
      <c r="AB139" s="2" t="s">
        <v>69</v>
      </c>
      <c r="AC139" s="2" t="s">
        <v>112</v>
      </c>
      <c r="AD139" s="2" t="b">
        <v>0</v>
      </c>
      <c r="AE139" s="2" t="b">
        <v>0</v>
      </c>
      <c r="AF139" s="2" t="b">
        <v>1</v>
      </c>
      <c r="AG139" s="2" t="b">
        <v>0</v>
      </c>
      <c r="AH139" s="2">
        <v>0</v>
      </c>
      <c r="AI139" s="2">
        <v>0</v>
      </c>
      <c r="AJ139" s="2">
        <v>6.2831853070000001</v>
      </c>
      <c r="AK139" s="2">
        <v>0.01</v>
      </c>
      <c r="AL139" s="2" t="s">
        <v>88</v>
      </c>
      <c r="AM139" s="2" t="str">
        <f t="shared" si="2"/>
        <v>NCL2024-01-21 21-22-03</v>
      </c>
    </row>
    <row r="140" spans="1:39" x14ac:dyDescent="0.25">
      <c r="A140">
        <v>139</v>
      </c>
      <c r="B140" t="s">
        <v>41</v>
      </c>
      <c r="C140">
        <v>10</v>
      </c>
      <c r="D140">
        <v>8</v>
      </c>
      <c r="E140">
        <v>8</v>
      </c>
      <c r="F140">
        <v>486</v>
      </c>
      <c r="G140">
        <v>499</v>
      </c>
      <c r="H140" s="92">
        <v>89.583333330000002</v>
      </c>
      <c r="I140" s="90">
        <v>89.583333330000002</v>
      </c>
      <c r="J140" s="98">
        <v>85.3</v>
      </c>
      <c r="K140" s="421">
        <v>84.9</v>
      </c>
      <c r="L140" s="223">
        <v>82.291666669999998</v>
      </c>
      <c r="M140" s="223">
        <v>81.25</v>
      </c>
      <c r="N140" s="223">
        <v>79.08</v>
      </c>
      <c r="O140" s="223">
        <v>79.62</v>
      </c>
      <c r="P140" s="176">
        <v>500</v>
      </c>
      <c r="Q140">
        <v>10</v>
      </c>
      <c r="R140" t="s">
        <v>45</v>
      </c>
      <c r="S140" t="b">
        <v>1</v>
      </c>
      <c r="T140">
        <v>8</v>
      </c>
      <c r="U140" t="b">
        <v>0</v>
      </c>
      <c r="V140" t="s">
        <v>32</v>
      </c>
      <c r="W140" t="s">
        <v>64</v>
      </c>
      <c r="X140" t="s">
        <v>38</v>
      </c>
      <c r="Y140">
        <v>48</v>
      </c>
      <c r="Z140">
        <v>48</v>
      </c>
      <c r="AA140">
        <v>1000</v>
      </c>
      <c r="AB140" t="s">
        <v>69</v>
      </c>
      <c r="AC140" t="s">
        <v>112</v>
      </c>
      <c r="AD140" t="b">
        <v>0</v>
      </c>
      <c r="AE140" t="b">
        <v>0</v>
      </c>
      <c r="AF140" t="b">
        <v>1</v>
      </c>
      <c r="AG140" t="b">
        <v>0</v>
      </c>
      <c r="AH140">
        <v>0</v>
      </c>
      <c r="AI140">
        <v>0</v>
      </c>
      <c r="AJ140">
        <v>6.2831853070000001</v>
      </c>
      <c r="AK140">
        <v>0.01</v>
      </c>
      <c r="AL140" t="s">
        <v>88</v>
      </c>
      <c r="AM140" t="str">
        <f t="shared" si="2"/>
        <v>CL2024-01-21 21-22-03</v>
      </c>
    </row>
    <row r="141" spans="1:39" x14ac:dyDescent="0.25">
      <c r="A141">
        <v>140</v>
      </c>
      <c r="B141" t="s">
        <v>42</v>
      </c>
      <c r="C141">
        <v>10</v>
      </c>
      <c r="D141">
        <v>2</v>
      </c>
      <c r="E141">
        <v>2</v>
      </c>
      <c r="F141">
        <v>388</v>
      </c>
      <c r="G141">
        <v>499</v>
      </c>
      <c r="H141" s="91">
        <v>100</v>
      </c>
      <c r="I141" s="91">
        <v>100</v>
      </c>
      <c r="J141" s="91">
        <v>90.6</v>
      </c>
      <c r="K141" s="225">
        <v>91.3</v>
      </c>
      <c r="L141" s="422">
        <v>96.25</v>
      </c>
      <c r="M141" s="225">
        <v>91.25</v>
      </c>
      <c r="N141" s="423">
        <v>87.77</v>
      </c>
      <c r="O141" s="225">
        <v>86.65</v>
      </c>
      <c r="P141" s="176">
        <v>500</v>
      </c>
      <c r="Q141">
        <v>10</v>
      </c>
      <c r="R141" t="s">
        <v>45</v>
      </c>
      <c r="S141" t="b">
        <v>1</v>
      </c>
      <c r="T141">
        <v>8</v>
      </c>
      <c r="U141" t="b">
        <v>0</v>
      </c>
      <c r="V141" t="s">
        <v>32</v>
      </c>
      <c r="W141" t="s">
        <v>64</v>
      </c>
      <c r="X141" t="s">
        <v>38</v>
      </c>
      <c r="Y141">
        <v>48</v>
      </c>
      <c r="Z141">
        <v>48</v>
      </c>
      <c r="AA141">
        <v>1000</v>
      </c>
      <c r="AB141" t="s">
        <v>69</v>
      </c>
      <c r="AC141" t="s">
        <v>112</v>
      </c>
      <c r="AD141" t="b">
        <v>0</v>
      </c>
      <c r="AE141" t="b">
        <v>0</v>
      </c>
      <c r="AF141" t="b">
        <v>1</v>
      </c>
      <c r="AG141" t="b">
        <v>0</v>
      </c>
      <c r="AH141">
        <v>0</v>
      </c>
      <c r="AI141">
        <v>0</v>
      </c>
      <c r="AJ141">
        <v>6.2831853070000001</v>
      </c>
      <c r="AK141">
        <v>0.01</v>
      </c>
      <c r="AL141" t="s">
        <v>88</v>
      </c>
      <c r="AM141" t="str">
        <f t="shared" si="2"/>
        <v>ACL2024-01-21 21-22-03</v>
      </c>
    </row>
    <row r="142" spans="1:39" x14ac:dyDescent="0.25">
      <c r="A142">
        <v>141</v>
      </c>
      <c r="B142" t="s">
        <v>43</v>
      </c>
      <c r="C142">
        <v>10</v>
      </c>
      <c r="D142">
        <v>1</v>
      </c>
      <c r="E142">
        <v>1</v>
      </c>
      <c r="F142">
        <v>408</v>
      </c>
      <c r="G142">
        <v>499</v>
      </c>
      <c r="H142" s="98">
        <v>93.75</v>
      </c>
      <c r="I142" s="163">
        <v>93.75</v>
      </c>
      <c r="J142" s="90">
        <v>85.4</v>
      </c>
      <c r="K142" s="253">
        <v>88.6</v>
      </c>
      <c r="L142" s="273">
        <v>85.833333330000002</v>
      </c>
      <c r="M142" s="222">
        <v>83.541666669999998</v>
      </c>
      <c r="N142" s="222">
        <v>81.81</v>
      </c>
      <c r="O142" s="222">
        <v>81.489999999999995</v>
      </c>
      <c r="P142" s="176">
        <v>500</v>
      </c>
      <c r="Q142">
        <v>10</v>
      </c>
      <c r="R142" t="s">
        <v>45</v>
      </c>
      <c r="S142" t="b">
        <v>1</v>
      </c>
      <c r="T142">
        <v>8</v>
      </c>
      <c r="U142" t="b">
        <v>0</v>
      </c>
      <c r="V142" t="s">
        <v>32</v>
      </c>
      <c r="W142" t="s">
        <v>64</v>
      </c>
      <c r="X142" t="s">
        <v>38</v>
      </c>
      <c r="Y142">
        <v>48</v>
      </c>
      <c r="Z142">
        <v>48</v>
      </c>
      <c r="AA142">
        <v>1000</v>
      </c>
      <c r="AB142" t="s">
        <v>69</v>
      </c>
      <c r="AC142" t="s">
        <v>112</v>
      </c>
      <c r="AD142" t="b">
        <v>0</v>
      </c>
      <c r="AE142" t="b">
        <v>0</v>
      </c>
      <c r="AF142" t="b">
        <v>1</v>
      </c>
      <c r="AG142" t="b">
        <v>0</v>
      </c>
      <c r="AH142">
        <v>0</v>
      </c>
      <c r="AI142">
        <v>0</v>
      </c>
      <c r="AJ142">
        <v>6.2831853070000001</v>
      </c>
      <c r="AK142">
        <v>0.01</v>
      </c>
      <c r="AL142" t="s">
        <v>88</v>
      </c>
      <c r="AM142" t="str">
        <f t="shared" si="2"/>
        <v>SPCL2024-01-21 21-22-03</v>
      </c>
    </row>
    <row r="143" spans="1:39" x14ac:dyDescent="0.25">
      <c r="A143">
        <v>142</v>
      </c>
      <c r="B143" s="1" t="s">
        <v>44</v>
      </c>
      <c r="C143" s="1">
        <v>10</v>
      </c>
      <c r="D143" s="1">
        <v>0</v>
      </c>
      <c r="E143" s="1">
        <v>1</v>
      </c>
      <c r="F143" s="1">
        <v>42</v>
      </c>
      <c r="G143" s="1">
        <v>499</v>
      </c>
      <c r="H143" s="93">
        <v>100</v>
      </c>
      <c r="I143" s="95">
        <v>77.083333330000002</v>
      </c>
      <c r="J143" s="184">
        <v>90.5</v>
      </c>
      <c r="K143" s="228">
        <v>75.8</v>
      </c>
      <c r="L143" s="224">
        <v>100</v>
      </c>
      <c r="M143" s="424">
        <v>83.125</v>
      </c>
      <c r="N143" s="224">
        <v>90.34</v>
      </c>
      <c r="O143" s="424">
        <v>81.150000000000006</v>
      </c>
      <c r="P143" s="178">
        <v>500</v>
      </c>
      <c r="Q143" s="1">
        <v>10</v>
      </c>
      <c r="R143" s="1" t="s">
        <v>45</v>
      </c>
      <c r="S143" s="1" t="b">
        <v>1</v>
      </c>
      <c r="T143" s="1">
        <v>8</v>
      </c>
      <c r="U143" s="1" t="b">
        <v>0</v>
      </c>
      <c r="V143" s="1" t="s">
        <v>32</v>
      </c>
      <c r="W143" s="1" t="s">
        <v>64</v>
      </c>
      <c r="X143" s="1" t="s">
        <v>38</v>
      </c>
      <c r="Y143" s="1">
        <v>48</v>
      </c>
      <c r="Z143" s="1">
        <v>48</v>
      </c>
      <c r="AA143" s="1">
        <v>1000</v>
      </c>
      <c r="AB143" s="1" t="s">
        <v>69</v>
      </c>
      <c r="AC143" s="1" t="s">
        <v>112</v>
      </c>
      <c r="AD143" s="1" t="b">
        <v>0</v>
      </c>
      <c r="AE143" s="1" t="b">
        <v>0</v>
      </c>
      <c r="AF143" s="1" t="b">
        <v>1</v>
      </c>
      <c r="AG143" s="1" t="b">
        <v>0</v>
      </c>
      <c r="AH143" s="1">
        <v>0</v>
      </c>
      <c r="AI143" s="1">
        <v>0</v>
      </c>
      <c r="AJ143" s="1">
        <v>6.2831853070000001</v>
      </c>
      <c r="AK143" s="1">
        <v>0.01</v>
      </c>
      <c r="AL143" s="1" t="s">
        <v>88</v>
      </c>
      <c r="AM143" s="1" t="str">
        <f t="shared" si="2"/>
        <v>SPACL2024-01-21 21-22-03</v>
      </c>
    </row>
    <row r="144" spans="1:39" x14ac:dyDescent="0.25">
      <c r="A144" s="2">
        <v>143</v>
      </c>
      <c r="B144" s="2" t="s">
        <v>40</v>
      </c>
      <c r="C144" s="2">
        <v>10</v>
      </c>
      <c r="D144" s="2">
        <v>0</v>
      </c>
      <c r="E144" s="2">
        <v>0</v>
      </c>
      <c r="F144" s="2">
        <v>69</v>
      </c>
      <c r="G144" s="2">
        <v>499</v>
      </c>
      <c r="H144" s="94">
        <v>100</v>
      </c>
      <c r="I144" s="94">
        <v>100</v>
      </c>
      <c r="J144" s="185">
        <v>82.8</v>
      </c>
      <c r="K144" s="425">
        <v>87.1</v>
      </c>
      <c r="L144" s="426">
        <v>99.375</v>
      </c>
      <c r="M144" s="227">
        <v>96.875</v>
      </c>
      <c r="N144" s="221">
        <v>84.7</v>
      </c>
      <c r="O144" s="221">
        <v>84.34</v>
      </c>
      <c r="P144" s="177">
        <v>500</v>
      </c>
      <c r="Q144" s="2">
        <v>10</v>
      </c>
      <c r="R144" s="2" t="s">
        <v>45</v>
      </c>
      <c r="S144" s="2" t="b">
        <v>1</v>
      </c>
      <c r="T144" s="2">
        <v>8</v>
      </c>
      <c r="U144" s="2" t="b">
        <v>0</v>
      </c>
      <c r="V144" s="2" t="s">
        <v>32</v>
      </c>
      <c r="W144" s="2" t="s">
        <v>66</v>
      </c>
      <c r="X144" s="2" t="s">
        <v>38</v>
      </c>
      <c r="Y144" s="2">
        <v>48</v>
      </c>
      <c r="Z144" s="2">
        <v>48</v>
      </c>
      <c r="AA144" s="2">
        <v>1000</v>
      </c>
      <c r="AB144" s="2" t="s">
        <v>62</v>
      </c>
      <c r="AC144" s="2" t="s">
        <v>112</v>
      </c>
      <c r="AD144" s="2" t="b">
        <v>1</v>
      </c>
      <c r="AE144" s="2" t="b">
        <v>1</v>
      </c>
      <c r="AF144" s="2" t="b">
        <v>1</v>
      </c>
      <c r="AG144" s="2" t="b">
        <v>0</v>
      </c>
      <c r="AH144" s="2">
        <v>0</v>
      </c>
      <c r="AI144" s="2">
        <v>0</v>
      </c>
      <c r="AJ144" s="2">
        <v>6.2831853070000001</v>
      </c>
      <c r="AK144" s="2">
        <v>0.01</v>
      </c>
      <c r="AL144" s="2" t="s">
        <v>89</v>
      </c>
      <c r="AM144" s="2" t="str">
        <f t="shared" si="2"/>
        <v>NCL2024-01-21 22-26-34</v>
      </c>
    </row>
    <row r="145" spans="1:39" x14ac:dyDescent="0.25">
      <c r="A145">
        <v>144</v>
      </c>
      <c r="B145" t="s">
        <v>41</v>
      </c>
      <c r="C145">
        <v>10</v>
      </c>
      <c r="D145">
        <v>1</v>
      </c>
      <c r="E145">
        <v>1</v>
      </c>
      <c r="F145">
        <v>398</v>
      </c>
      <c r="G145">
        <v>499</v>
      </c>
      <c r="H145" s="91">
        <v>100</v>
      </c>
      <c r="I145" s="91">
        <v>100</v>
      </c>
      <c r="J145" s="90">
        <v>84.4</v>
      </c>
      <c r="K145" s="222">
        <v>85.7</v>
      </c>
      <c r="L145" s="223">
        <v>96.875</v>
      </c>
      <c r="M145" s="222">
        <v>95.833333330000002</v>
      </c>
      <c r="N145" s="427">
        <v>82.95</v>
      </c>
      <c r="O145" s="396">
        <v>84.62</v>
      </c>
      <c r="P145" s="176">
        <v>500</v>
      </c>
      <c r="Q145">
        <v>10</v>
      </c>
      <c r="R145" t="s">
        <v>45</v>
      </c>
      <c r="S145" t="b">
        <v>1</v>
      </c>
      <c r="T145">
        <v>8</v>
      </c>
      <c r="U145" t="b">
        <v>0</v>
      </c>
      <c r="V145" t="s">
        <v>32</v>
      </c>
      <c r="W145" t="s">
        <v>66</v>
      </c>
      <c r="X145" t="s">
        <v>38</v>
      </c>
      <c r="Y145">
        <v>48</v>
      </c>
      <c r="Z145">
        <v>48</v>
      </c>
      <c r="AA145">
        <v>1000</v>
      </c>
      <c r="AB145" t="s">
        <v>62</v>
      </c>
      <c r="AC145" t="s">
        <v>112</v>
      </c>
      <c r="AD145" t="b">
        <v>1</v>
      </c>
      <c r="AE145" t="b">
        <v>1</v>
      </c>
      <c r="AF145" t="b">
        <v>1</v>
      </c>
      <c r="AG145" t="b">
        <v>0</v>
      </c>
      <c r="AH145">
        <v>0</v>
      </c>
      <c r="AI145">
        <v>0</v>
      </c>
      <c r="AJ145">
        <v>6.2831853070000001</v>
      </c>
      <c r="AK145">
        <v>0.01</v>
      </c>
      <c r="AL145" t="s">
        <v>89</v>
      </c>
      <c r="AM145" t="str">
        <f t="shared" si="2"/>
        <v>CL2024-01-21 22-26-34</v>
      </c>
    </row>
    <row r="146" spans="1:39" x14ac:dyDescent="0.25">
      <c r="A146">
        <v>145</v>
      </c>
      <c r="B146" t="s">
        <v>42</v>
      </c>
      <c r="C146">
        <v>10</v>
      </c>
      <c r="D146">
        <v>0</v>
      </c>
      <c r="E146">
        <v>7</v>
      </c>
      <c r="F146">
        <v>257</v>
      </c>
      <c r="G146">
        <v>499</v>
      </c>
      <c r="H146" s="91">
        <v>100</v>
      </c>
      <c r="I146" s="90">
        <v>97.916666669999998</v>
      </c>
      <c r="J146" s="91">
        <v>90.4</v>
      </c>
      <c r="K146" s="225">
        <v>87.8</v>
      </c>
      <c r="L146" s="222">
        <v>97.5</v>
      </c>
      <c r="M146" s="223">
        <v>95</v>
      </c>
      <c r="N146" s="328">
        <v>84.98</v>
      </c>
      <c r="O146" s="410">
        <v>83.48</v>
      </c>
      <c r="P146" s="176">
        <v>500</v>
      </c>
      <c r="Q146">
        <v>10</v>
      </c>
      <c r="R146" t="s">
        <v>45</v>
      </c>
      <c r="S146" t="b">
        <v>1</v>
      </c>
      <c r="T146">
        <v>8</v>
      </c>
      <c r="U146" t="b">
        <v>0</v>
      </c>
      <c r="V146" t="s">
        <v>32</v>
      </c>
      <c r="W146" t="s">
        <v>66</v>
      </c>
      <c r="X146" t="s">
        <v>38</v>
      </c>
      <c r="Y146">
        <v>48</v>
      </c>
      <c r="Z146">
        <v>48</v>
      </c>
      <c r="AA146">
        <v>1000</v>
      </c>
      <c r="AB146" t="s">
        <v>62</v>
      </c>
      <c r="AC146" t="s">
        <v>112</v>
      </c>
      <c r="AD146" t="b">
        <v>1</v>
      </c>
      <c r="AE146" t="b">
        <v>1</v>
      </c>
      <c r="AF146" t="b">
        <v>1</v>
      </c>
      <c r="AG146" t="b">
        <v>0</v>
      </c>
      <c r="AH146">
        <v>0</v>
      </c>
      <c r="AI146">
        <v>0</v>
      </c>
      <c r="AJ146">
        <v>6.2831853070000001</v>
      </c>
      <c r="AK146">
        <v>0.01</v>
      </c>
      <c r="AL146" t="s">
        <v>89</v>
      </c>
      <c r="AM146" t="str">
        <f t="shared" si="2"/>
        <v>ACL2024-01-21 22-26-34</v>
      </c>
    </row>
    <row r="147" spans="1:39" x14ac:dyDescent="0.25">
      <c r="A147">
        <v>146</v>
      </c>
      <c r="B147" t="s">
        <v>43</v>
      </c>
      <c r="C147">
        <v>10</v>
      </c>
      <c r="D147">
        <v>1</v>
      </c>
      <c r="E147">
        <v>3</v>
      </c>
      <c r="F147">
        <v>338</v>
      </c>
      <c r="G147">
        <v>499</v>
      </c>
      <c r="H147" s="91">
        <v>100</v>
      </c>
      <c r="I147" s="90">
        <v>97.916666669999998</v>
      </c>
      <c r="J147" s="92">
        <v>82.6</v>
      </c>
      <c r="K147" s="295">
        <v>83.2</v>
      </c>
      <c r="L147" s="285">
        <v>97.083333330000002</v>
      </c>
      <c r="M147" s="222">
        <v>95.833333330000002</v>
      </c>
      <c r="N147" s="223">
        <v>81.77</v>
      </c>
      <c r="O147" s="223">
        <v>82.92</v>
      </c>
      <c r="P147" s="176">
        <v>500</v>
      </c>
      <c r="Q147">
        <v>10</v>
      </c>
      <c r="R147" t="s">
        <v>45</v>
      </c>
      <c r="S147" t="b">
        <v>1</v>
      </c>
      <c r="T147">
        <v>8</v>
      </c>
      <c r="U147" t="b">
        <v>0</v>
      </c>
      <c r="V147" t="s">
        <v>32</v>
      </c>
      <c r="W147" t="s">
        <v>66</v>
      </c>
      <c r="X147" t="s">
        <v>38</v>
      </c>
      <c r="Y147">
        <v>48</v>
      </c>
      <c r="Z147">
        <v>48</v>
      </c>
      <c r="AA147">
        <v>1000</v>
      </c>
      <c r="AB147" t="s">
        <v>62</v>
      </c>
      <c r="AC147" t="s">
        <v>112</v>
      </c>
      <c r="AD147" t="b">
        <v>1</v>
      </c>
      <c r="AE147" t="b">
        <v>1</v>
      </c>
      <c r="AF147" t="b">
        <v>1</v>
      </c>
      <c r="AG147" t="b">
        <v>0</v>
      </c>
      <c r="AH147">
        <v>0</v>
      </c>
      <c r="AI147">
        <v>0</v>
      </c>
      <c r="AJ147">
        <v>6.2831853070000001</v>
      </c>
      <c r="AK147">
        <v>0.01</v>
      </c>
      <c r="AL147" t="s">
        <v>89</v>
      </c>
      <c r="AM147" t="str">
        <f t="shared" si="2"/>
        <v>SPCL2024-01-21 22-26-34</v>
      </c>
    </row>
    <row r="148" spans="1:39" x14ac:dyDescent="0.25">
      <c r="A148">
        <v>147</v>
      </c>
      <c r="B148" s="1" t="s">
        <v>44</v>
      </c>
      <c r="C148" s="1">
        <v>10</v>
      </c>
      <c r="D148" s="1">
        <v>0</v>
      </c>
      <c r="E148" s="1">
        <v>3</v>
      </c>
      <c r="F148" s="1">
        <v>33</v>
      </c>
      <c r="G148" s="1">
        <v>499</v>
      </c>
      <c r="H148" s="93">
        <v>100</v>
      </c>
      <c r="I148" s="95">
        <v>93.75</v>
      </c>
      <c r="J148" s="186">
        <v>87.2</v>
      </c>
      <c r="K148" s="228">
        <v>79.900000000000006</v>
      </c>
      <c r="L148" s="224">
        <v>100</v>
      </c>
      <c r="M148" s="224">
        <v>96.875</v>
      </c>
      <c r="N148" s="224">
        <v>87.01</v>
      </c>
      <c r="O148" s="224">
        <v>84.67</v>
      </c>
      <c r="P148" s="178">
        <v>500</v>
      </c>
      <c r="Q148" s="1">
        <v>10</v>
      </c>
      <c r="R148" s="1" t="s">
        <v>45</v>
      </c>
      <c r="S148" s="1" t="b">
        <v>1</v>
      </c>
      <c r="T148" s="1">
        <v>8</v>
      </c>
      <c r="U148" s="1" t="b">
        <v>0</v>
      </c>
      <c r="V148" s="1" t="s">
        <v>32</v>
      </c>
      <c r="W148" s="1" t="s">
        <v>66</v>
      </c>
      <c r="X148" s="1" t="s">
        <v>38</v>
      </c>
      <c r="Y148" s="1">
        <v>48</v>
      </c>
      <c r="Z148" s="1">
        <v>48</v>
      </c>
      <c r="AA148" s="1">
        <v>1000</v>
      </c>
      <c r="AB148" s="1" t="s">
        <v>62</v>
      </c>
      <c r="AC148" s="1" t="s">
        <v>112</v>
      </c>
      <c r="AD148" s="1" t="b">
        <v>1</v>
      </c>
      <c r="AE148" s="1" t="b">
        <v>1</v>
      </c>
      <c r="AF148" s="1" t="b">
        <v>1</v>
      </c>
      <c r="AG148" s="1" t="b">
        <v>0</v>
      </c>
      <c r="AH148" s="1">
        <v>0</v>
      </c>
      <c r="AI148" s="1">
        <v>0</v>
      </c>
      <c r="AJ148" s="1">
        <v>6.2831853070000001</v>
      </c>
      <c r="AK148" s="1">
        <v>0.01</v>
      </c>
      <c r="AL148" s="1" t="s">
        <v>89</v>
      </c>
      <c r="AM148" s="1" t="str">
        <f t="shared" si="2"/>
        <v>SPACL2024-01-21 22-26-34</v>
      </c>
    </row>
    <row r="149" spans="1:39" x14ac:dyDescent="0.25">
      <c r="A149" s="2">
        <v>148</v>
      </c>
      <c r="B149" s="2" t="s">
        <v>40</v>
      </c>
      <c r="C149" s="2">
        <v>10</v>
      </c>
      <c r="D149" s="2">
        <v>3</v>
      </c>
      <c r="E149" s="2">
        <v>1</v>
      </c>
      <c r="F149" s="2">
        <v>56</v>
      </c>
      <c r="G149" s="2">
        <v>499</v>
      </c>
      <c r="H149" s="89">
        <v>95.833333330000002</v>
      </c>
      <c r="I149" s="89">
        <v>85.416666669999998</v>
      </c>
      <c r="J149" s="88">
        <v>89.3</v>
      </c>
      <c r="K149" s="428">
        <v>85.1</v>
      </c>
      <c r="L149" s="221">
        <v>87.708333330000002</v>
      </c>
      <c r="M149" s="429">
        <v>82.083333330000002</v>
      </c>
      <c r="N149" s="221">
        <v>83.37</v>
      </c>
      <c r="O149" s="221">
        <v>82.05</v>
      </c>
      <c r="P149" s="177">
        <v>500</v>
      </c>
      <c r="Q149" s="2">
        <v>10</v>
      </c>
      <c r="R149" s="2" t="s">
        <v>45</v>
      </c>
      <c r="S149" s="2" t="b">
        <v>1</v>
      </c>
      <c r="T149" s="2">
        <v>8</v>
      </c>
      <c r="U149" s="2" t="b">
        <v>0</v>
      </c>
      <c r="V149" s="2" t="s">
        <v>32</v>
      </c>
      <c r="W149" s="2" t="s">
        <v>66</v>
      </c>
      <c r="X149" s="2" t="s">
        <v>38</v>
      </c>
      <c r="Y149" s="2">
        <v>48</v>
      </c>
      <c r="Z149" s="2">
        <v>48</v>
      </c>
      <c r="AA149" s="2">
        <v>1000</v>
      </c>
      <c r="AB149" s="2" t="s">
        <v>62</v>
      </c>
      <c r="AC149" s="2" t="s">
        <v>112</v>
      </c>
      <c r="AD149" s="2" t="b">
        <v>0</v>
      </c>
      <c r="AE149" s="2" t="b">
        <v>0</v>
      </c>
      <c r="AF149" s="2" t="b">
        <v>1</v>
      </c>
      <c r="AG149" s="2" t="b">
        <v>0</v>
      </c>
      <c r="AH149" s="2">
        <v>0</v>
      </c>
      <c r="AI149" s="2">
        <v>0</v>
      </c>
      <c r="AJ149" s="2">
        <v>6.2831853070000001</v>
      </c>
      <c r="AK149" s="2">
        <v>0.01</v>
      </c>
      <c r="AL149" s="2" t="s">
        <v>90</v>
      </c>
      <c r="AM149" s="2" t="str">
        <f t="shared" si="2"/>
        <v>NCL2024-01-21 23-36-04</v>
      </c>
    </row>
    <row r="150" spans="1:39" x14ac:dyDescent="0.25">
      <c r="A150">
        <v>149</v>
      </c>
      <c r="B150" t="s">
        <v>41</v>
      </c>
      <c r="C150">
        <v>10</v>
      </c>
      <c r="D150">
        <v>0</v>
      </c>
      <c r="E150">
        <v>9</v>
      </c>
      <c r="F150">
        <v>337</v>
      </c>
      <c r="G150">
        <v>499</v>
      </c>
      <c r="H150" s="92">
        <v>89.583333330000002</v>
      </c>
      <c r="I150" s="90">
        <v>85.416666669999998</v>
      </c>
      <c r="J150" s="187">
        <v>89.9</v>
      </c>
      <c r="K150" s="222">
        <v>89.6</v>
      </c>
      <c r="L150" s="223">
        <v>82.5</v>
      </c>
      <c r="M150" s="223">
        <v>81.666666669999998</v>
      </c>
      <c r="N150" s="223">
        <v>79.73</v>
      </c>
      <c r="O150" s="223">
        <v>80.91</v>
      </c>
      <c r="P150" s="176">
        <v>500</v>
      </c>
      <c r="Q150">
        <v>10</v>
      </c>
      <c r="R150" t="s">
        <v>45</v>
      </c>
      <c r="S150" t="b">
        <v>1</v>
      </c>
      <c r="T150">
        <v>8</v>
      </c>
      <c r="U150" t="b">
        <v>0</v>
      </c>
      <c r="V150" t="s">
        <v>32</v>
      </c>
      <c r="W150" t="s">
        <v>66</v>
      </c>
      <c r="X150" t="s">
        <v>38</v>
      </c>
      <c r="Y150">
        <v>48</v>
      </c>
      <c r="Z150">
        <v>48</v>
      </c>
      <c r="AA150">
        <v>1000</v>
      </c>
      <c r="AB150" t="s">
        <v>62</v>
      </c>
      <c r="AC150" t="s">
        <v>112</v>
      </c>
      <c r="AD150" t="b">
        <v>0</v>
      </c>
      <c r="AE150" t="b">
        <v>0</v>
      </c>
      <c r="AF150" t="b">
        <v>1</v>
      </c>
      <c r="AG150" t="b">
        <v>0</v>
      </c>
      <c r="AH150">
        <v>0</v>
      </c>
      <c r="AI150">
        <v>0</v>
      </c>
      <c r="AJ150">
        <v>6.2831853070000001</v>
      </c>
      <c r="AK150">
        <v>0.01</v>
      </c>
      <c r="AL150" t="s">
        <v>90</v>
      </c>
      <c r="AM150" t="str">
        <f t="shared" si="2"/>
        <v>CL2024-01-21 23-36-04</v>
      </c>
    </row>
    <row r="151" spans="1:39" x14ac:dyDescent="0.25">
      <c r="A151">
        <v>150</v>
      </c>
      <c r="B151" t="s">
        <v>42</v>
      </c>
      <c r="C151">
        <v>10</v>
      </c>
      <c r="D151">
        <v>4</v>
      </c>
      <c r="E151">
        <v>0</v>
      </c>
      <c r="F151">
        <v>129</v>
      </c>
      <c r="G151">
        <v>499</v>
      </c>
      <c r="H151" s="91">
        <v>100</v>
      </c>
      <c r="I151" s="134">
        <v>91.666666669999998</v>
      </c>
      <c r="J151" s="91">
        <v>92.7</v>
      </c>
      <c r="K151" s="225">
        <v>93.1</v>
      </c>
      <c r="L151" s="430">
        <v>94.166666669999998</v>
      </c>
      <c r="M151" s="431">
        <v>85.208333330000002</v>
      </c>
      <c r="N151" s="432">
        <v>88.64</v>
      </c>
      <c r="O151" s="225">
        <v>85.1</v>
      </c>
      <c r="P151" s="176">
        <v>500</v>
      </c>
      <c r="Q151">
        <v>10</v>
      </c>
      <c r="R151" t="s">
        <v>45</v>
      </c>
      <c r="S151" t="b">
        <v>1</v>
      </c>
      <c r="T151">
        <v>8</v>
      </c>
      <c r="U151" t="b">
        <v>0</v>
      </c>
      <c r="V151" t="s">
        <v>32</v>
      </c>
      <c r="W151" t="s">
        <v>66</v>
      </c>
      <c r="X151" t="s">
        <v>38</v>
      </c>
      <c r="Y151">
        <v>48</v>
      </c>
      <c r="Z151">
        <v>48</v>
      </c>
      <c r="AA151">
        <v>1000</v>
      </c>
      <c r="AB151" t="s">
        <v>62</v>
      </c>
      <c r="AC151" t="s">
        <v>112</v>
      </c>
      <c r="AD151" t="b">
        <v>0</v>
      </c>
      <c r="AE151" t="b">
        <v>0</v>
      </c>
      <c r="AF151" t="b">
        <v>1</v>
      </c>
      <c r="AG151" t="b">
        <v>0</v>
      </c>
      <c r="AH151">
        <v>0</v>
      </c>
      <c r="AI151">
        <v>0</v>
      </c>
      <c r="AJ151">
        <v>6.2831853070000001</v>
      </c>
      <c r="AK151">
        <v>0.01</v>
      </c>
      <c r="AL151" t="s">
        <v>90</v>
      </c>
      <c r="AM151" t="str">
        <f t="shared" si="2"/>
        <v>ACL2024-01-21 23-36-04</v>
      </c>
    </row>
    <row r="152" spans="1:39" x14ac:dyDescent="0.25">
      <c r="A152">
        <v>151</v>
      </c>
      <c r="B152" t="s">
        <v>43</v>
      </c>
      <c r="C152">
        <v>10</v>
      </c>
      <c r="D152">
        <v>7</v>
      </c>
      <c r="E152">
        <v>7</v>
      </c>
      <c r="F152">
        <v>278</v>
      </c>
      <c r="G152">
        <v>499</v>
      </c>
      <c r="H152" s="98">
        <v>93.75</v>
      </c>
      <c r="I152" s="91">
        <v>93.75</v>
      </c>
      <c r="J152" s="188">
        <v>90.6</v>
      </c>
      <c r="K152" s="433">
        <v>91.4</v>
      </c>
      <c r="L152" s="242">
        <v>86.875</v>
      </c>
      <c r="M152" s="225">
        <v>85.625</v>
      </c>
      <c r="N152" s="386">
        <v>83</v>
      </c>
      <c r="O152" s="288">
        <v>84.09</v>
      </c>
      <c r="P152" s="176">
        <v>500</v>
      </c>
      <c r="Q152">
        <v>10</v>
      </c>
      <c r="R152" t="s">
        <v>45</v>
      </c>
      <c r="S152" t="b">
        <v>1</v>
      </c>
      <c r="T152">
        <v>8</v>
      </c>
      <c r="U152" t="b">
        <v>0</v>
      </c>
      <c r="V152" t="s">
        <v>32</v>
      </c>
      <c r="W152" t="s">
        <v>66</v>
      </c>
      <c r="X152" t="s">
        <v>38</v>
      </c>
      <c r="Y152">
        <v>48</v>
      </c>
      <c r="Z152">
        <v>48</v>
      </c>
      <c r="AA152">
        <v>1000</v>
      </c>
      <c r="AB152" t="s">
        <v>62</v>
      </c>
      <c r="AC152" t="s">
        <v>112</v>
      </c>
      <c r="AD152" t="b">
        <v>0</v>
      </c>
      <c r="AE152" t="b">
        <v>0</v>
      </c>
      <c r="AF152" t="b">
        <v>1</v>
      </c>
      <c r="AG152" t="b">
        <v>0</v>
      </c>
      <c r="AH152">
        <v>0</v>
      </c>
      <c r="AI152">
        <v>0</v>
      </c>
      <c r="AJ152">
        <v>6.2831853070000001</v>
      </c>
      <c r="AK152">
        <v>0.01</v>
      </c>
      <c r="AL152" t="s">
        <v>90</v>
      </c>
      <c r="AM152" t="str">
        <f t="shared" si="2"/>
        <v>SPCL2024-01-21 23-36-04</v>
      </c>
    </row>
    <row r="153" spans="1:39" x14ac:dyDescent="0.25">
      <c r="A153">
        <v>152</v>
      </c>
      <c r="B153" s="1" t="s">
        <v>44</v>
      </c>
      <c r="C153" s="1">
        <v>10</v>
      </c>
      <c r="D153" s="1">
        <v>0</v>
      </c>
      <c r="E153" s="1">
        <v>6</v>
      </c>
      <c r="F153" s="1">
        <v>36</v>
      </c>
      <c r="G153" s="1">
        <v>499</v>
      </c>
      <c r="H153" s="93">
        <v>100</v>
      </c>
      <c r="I153" s="95">
        <v>75</v>
      </c>
      <c r="J153" s="96">
        <v>90.4</v>
      </c>
      <c r="K153" s="228">
        <v>78.8</v>
      </c>
      <c r="L153" s="224">
        <v>98.541666669999998</v>
      </c>
      <c r="M153" s="226">
        <v>82.5</v>
      </c>
      <c r="N153" s="224">
        <v>91.67</v>
      </c>
      <c r="O153" s="434">
        <v>81.17</v>
      </c>
      <c r="P153" s="178">
        <v>500</v>
      </c>
      <c r="Q153" s="1">
        <v>10</v>
      </c>
      <c r="R153" s="1" t="s">
        <v>45</v>
      </c>
      <c r="S153" s="1" t="b">
        <v>1</v>
      </c>
      <c r="T153" s="1">
        <v>8</v>
      </c>
      <c r="U153" s="1" t="b">
        <v>0</v>
      </c>
      <c r="V153" s="1" t="s">
        <v>32</v>
      </c>
      <c r="W153" s="1" t="s">
        <v>66</v>
      </c>
      <c r="X153" s="1" t="s">
        <v>38</v>
      </c>
      <c r="Y153" s="1">
        <v>48</v>
      </c>
      <c r="Z153" s="1">
        <v>48</v>
      </c>
      <c r="AA153" s="1">
        <v>1000</v>
      </c>
      <c r="AB153" s="1" t="s">
        <v>62</v>
      </c>
      <c r="AC153" s="1" t="s">
        <v>112</v>
      </c>
      <c r="AD153" s="1" t="b">
        <v>0</v>
      </c>
      <c r="AE153" s="1" t="b">
        <v>0</v>
      </c>
      <c r="AF153" s="1" t="b">
        <v>1</v>
      </c>
      <c r="AG153" s="1" t="b">
        <v>0</v>
      </c>
      <c r="AH153" s="1">
        <v>0</v>
      </c>
      <c r="AI153" s="1">
        <v>0</v>
      </c>
      <c r="AJ153" s="1">
        <v>6.2831853070000001</v>
      </c>
      <c r="AK153" s="1">
        <v>0.01</v>
      </c>
      <c r="AL153" s="1" t="s">
        <v>90</v>
      </c>
      <c r="AM153" s="1" t="str">
        <f t="shared" si="2"/>
        <v>SPACL2024-01-21 23-36-04</v>
      </c>
    </row>
    <row r="154" spans="1:39" x14ac:dyDescent="0.25">
      <c r="A154" s="2">
        <v>153</v>
      </c>
      <c r="B154" s="2" t="s">
        <v>40</v>
      </c>
      <c r="C154" s="2">
        <v>10</v>
      </c>
      <c r="D154" s="2">
        <v>5</v>
      </c>
      <c r="E154" s="2">
        <v>0</v>
      </c>
      <c r="F154" s="2">
        <v>163</v>
      </c>
      <c r="G154" s="2">
        <v>499</v>
      </c>
      <c r="H154" s="89">
        <v>97.916666669999998</v>
      </c>
      <c r="I154" s="89">
        <v>91.666666669999998</v>
      </c>
      <c r="J154" s="189">
        <v>90.5</v>
      </c>
      <c r="K154" s="435">
        <v>86.8</v>
      </c>
      <c r="L154" s="221">
        <v>91.458333330000002</v>
      </c>
      <c r="M154" s="436">
        <v>88.125</v>
      </c>
      <c r="N154" s="221">
        <v>83.64</v>
      </c>
      <c r="O154" s="437">
        <v>82.17</v>
      </c>
      <c r="P154" s="177">
        <v>500</v>
      </c>
      <c r="Q154" s="2">
        <v>10</v>
      </c>
      <c r="R154" s="2" t="s">
        <v>45</v>
      </c>
      <c r="S154" s="2" t="b">
        <v>1</v>
      </c>
      <c r="T154" s="2">
        <v>8</v>
      </c>
      <c r="U154" s="2" t="b">
        <v>0</v>
      </c>
      <c r="V154" s="2" t="s">
        <v>32</v>
      </c>
      <c r="W154" s="2" t="s">
        <v>64</v>
      </c>
      <c r="X154" s="2" t="s">
        <v>38</v>
      </c>
      <c r="Y154" s="2">
        <v>48</v>
      </c>
      <c r="Z154" s="2">
        <v>48</v>
      </c>
      <c r="AA154" s="2">
        <v>1000</v>
      </c>
      <c r="AB154" s="2" t="s">
        <v>62</v>
      </c>
      <c r="AC154" s="2" t="s">
        <v>112</v>
      </c>
      <c r="AD154" s="2" t="b">
        <v>1</v>
      </c>
      <c r="AE154" s="2" t="b">
        <v>1</v>
      </c>
      <c r="AF154" s="2" t="b">
        <v>1</v>
      </c>
      <c r="AG154" s="2" t="b">
        <v>0</v>
      </c>
      <c r="AH154" s="2">
        <v>0</v>
      </c>
      <c r="AI154" s="2">
        <v>0</v>
      </c>
      <c r="AJ154" s="2">
        <v>6.2831853070000001</v>
      </c>
      <c r="AK154" s="2">
        <v>0.01</v>
      </c>
      <c r="AL154" s="2" t="s">
        <v>91</v>
      </c>
      <c r="AM154" s="2" t="str">
        <f t="shared" si="2"/>
        <v>NCL2024-01-22 09-14-53</v>
      </c>
    </row>
    <row r="155" spans="1:39" x14ac:dyDescent="0.25">
      <c r="A155">
        <v>154</v>
      </c>
      <c r="B155" t="s">
        <v>41</v>
      </c>
      <c r="C155">
        <v>10</v>
      </c>
      <c r="D155">
        <v>2</v>
      </c>
      <c r="E155">
        <v>3</v>
      </c>
      <c r="F155">
        <v>300</v>
      </c>
      <c r="G155">
        <v>499</v>
      </c>
      <c r="H155" s="92">
        <v>93.75</v>
      </c>
      <c r="I155" s="98">
        <v>89.583333330000002</v>
      </c>
      <c r="J155" s="92">
        <v>85.3</v>
      </c>
      <c r="K155" s="438">
        <v>89.5</v>
      </c>
      <c r="L155" s="223">
        <v>88.541666669999998</v>
      </c>
      <c r="M155" s="223">
        <v>87.291666669999998</v>
      </c>
      <c r="N155" s="223">
        <v>80.400000000000006</v>
      </c>
      <c r="O155" s="223">
        <v>82.15</v>
      </c>
      <c r="P155" s="176">
        <v>500</v>
      </c>
      <c r="Q155">
        <v>10</v>
      </c>
      <c r="R155" t="s">
        <v>45</v>
      </c>
      <c r="S155" t="b">
        <v>1</v>
      </c>
      <c r="T155">
        <v>8</v>
      </c>
      <c r="U155" t="b">
        <v>0</v>
      </c>
      <c r="V155" t="s">
        <v>32</v>
      </c>
      <c r="W155" t="s">
        <v>64</v>
      </c>
      <c r="X155" t="s">
        <v>38</v>
      </c>
      <c r="Y155">
        <v>48</v>
      </c>
      <c r="Z155">
        <v>48</v>
      </c>
      <c r="AA155">
        <v>1000</v>
      </c>
      <c r="AB155" t="s">
        <v>62</v>
      </c>
      <c r="AC155" t="s">
        <v>112</v>
      </c>
      <c r="AD155" t="b">
        <v>1</v>
      </c>
      <c r="AE155" t="b">
        <v>1</v>
      </c>
      <c r="AF155" t="b">
        <v>1</v>
      </c>
      <c r="AG155" t="b">
        <v>0</v>
      </c>
      <c r="AH155">
        <v>0</v>
      </c>
      <c r="AI155">
        <v>0</v>
      </c>
      <c r="AJ155">
        <v>6.2831853070000001</v>
      </c>
      <c r="AK155">
        <v>0.01</v>
      </c>
      <c r="AL155" t="s">
        <v>91</v>
      </c>
      <c r="AM155" t="str">
        <f t="shared" si="2"/>
        <v>CL2024-01-22 09-14-53</v>
      </c>
    </row>
    <row r="156" spans="1:39" x14ac:dyDescent="0.25">
      <c r="A156">
        <v>155</v>
      </c>
      <c r="B156" t="s">
        <v>42</v>
      </c>
      <c r="C156">
        <v>10</v>
      </c>
      <c r="D156">
        <v>3</v>
      </c>
      <c r="E156">
        <v>4</v>
      </c>
      <c r="F156">
        <v>251</v>
      </c>
      <c r="G156">
        <v>499</v>
      </c>
      <c r="H156" s="91">
        <v>100</v>
      </c>
      <c r="I156" s="91">
        <v>93.75</v>
      </c>
      <c r="J156" s="91">
        <v>93.8</v>
      </c>
      <c r="K156" s="225">
        <v>90.2</v>
      </c>
      <c r="L156" s="368">
        <v>95.833333330000002</v>
      </c>
      <c r="M156" s="225">
        <v>90</v>
      </c>
      <c r="N156" s="423">
        <v>89.78</v>
      </c>
      <c r="O156" s="225">
        <v>85.01</v>
      </c>
      <c r="P156" s="176">
        <v>500</v>
      </c>
      <c r="Q156">
        <v>10</v>
      </c>
      <c r="R156" t="s">
        <v>45</v>
      </c>
      <c r="S156" t="b">
        <v>1</v>
      </c>
      <c r="T156">
        <v>8</v>
      </c>
      <c r="U156" t="b">
        <v>0</v>
      </c>
      <c r="V156" t="s">
        <v>32</v>
      </c>
      <c r="W156" t="s">
        <v>64</v>
      </c>
      <c r="X156" t="s">
        <v>38</v>
      </c>
      <c r="Y156">
        <v>48</v>
      </c>
      <c r="Z156">
        <v>48</v>
      </c>
      <c r="AA156">
        <v>1000</v>
      </c>
      <c r="AB156" t="s">
        <v>62</v>
      </c>
      <c r="AC156" t="s">
        <v>112</v>
      </c>
      <c r="AD156" t="b">
        <v>1</v>
      </c>
      <c r="AE156" t="b">
        <v>1</v>
      </c>
      <c r="AF156" t="b">
        <v>1</v>
      </c>
      <c r="AG156" t="b">
        <v>0</v>
      </c>
      <c r="AH156">
        <v>0</v>
      </c>
      <c r="AI156">
        <v>0</v>
      </c>
      <c r="AJ156">
        <v>6.2831853070000001</v>
      </c>
      <c r="AK156">
        <v>0.01</v>
      </c>
      <c r="AL156" t="s">
        <v>91</v>
      </c>
      <c r="AM156" t="str">
        <f t="shared" si="2"/>
        <v>ACL2024-01-22 09-14-53</v>
      </c>
    </row>
    <row r="157" spans="1:39" x14ac:dyDescent="0.25">
      <c r="A157">
        <v>156</v>
      </c>
      <c r="B157" t="s">
        <v>43</v>
      </c>
      <c r="C157">
        <v>10</v>
      </c>
      <c r="D157">
        <v>1</v>
      </c>
      <c r="E157">
        <v>1</v>
      </c>
      <c r="F157">
        <v>457</v>
      </c>
      <c r="G157">
        <v>499</v>
      </c>
      <c r="H157" s="92">
        <v>93.75</v>
      </c>
      <c r="I157" s="91">
        <v>93.75</v>
      </c>
      <c r="J157" s="118">
        <v>85.4</v>
      </c>
      <c r="K157" s="222">
        <v>87.5</v>
      </c>
      <c r="L157" s="439">
        <v>89.375</v>
      </c>
      <c r="M157" s="222">
        <v>88.333333330000002</v>
      </c>
      <c r="N157" s="440">
        <v>81.569999999999993</v>
      </c>
      <c r="O157" s="222">
        <v>83.15</v>
      </c>
      <c r="P157" s="176">
        <v>500</v>
      </c>
      <c r="Q157">
        <v>10</v>
      </c>
      <c r="R157" t="s">
        <v>45</v>
      </c>
      <c r="S157" t="b">
        <v>1</v>
      </c>
      <c r="T157">
        <v>8</v>
      </c>
      <c r="U157" t="b">
        <v>0</v>
      </c>
      <c r="V157" t="s">
        <v>32</v>
      </c>
      <c r="W157" t="s">
        <v>64</v>
      </c>
      <c r="X157" t="s">
        <v>38</v>
      </c>
      <c r="Y157">
        <v>48</v>
      </c>
      <c r="Z157">
        <v>48</v>
      </c>
      <c r="AA157">
        <v>1000</v>
      </c>
      <c r="AB157" t="s">
        <v>62</v>
      </c>
      <c r="AC157" t="s">
        <v>112</v>
      </c>
      <c r="AD157" t="b">
        <v>1</v>
      </c>
      <c r="AE157" t="b">
        <v>1</v>
      </c>
      <c r="AF157" t="b">
        <v>1</v>
      </c>
      <c r="AG157" t="b">
        <v>0</v>
      </c>
      <c r="AH157">
        <v>0</v>
      </c>
      <c r="AI157">
        <v>0</v>
      </c>
      <c r="AJ157">
        <v>6.2831853070000001</v>
      </c>
      <c r="AK157">
        <v>0.01</v>
      </c>
      <c r="AL157" t="s">
        <v>91</v>
      </c>
      <c r="AM157" t="str">
        <f t="shared" si="2"/>
        <v>SPCL2024-01-22 09-14-53</v>
      </c>
    </row>
    <row r="158" spans="1:39" x14ac:dyDescent="0.25">
      <c r="A158">
        <v>157</v>
      </c>
      <c r="B158" s="1" t="s">
        <v>44</v>
      </c>
      <c r="C158" s="1">
        <v>10</v>
      </c>
      <c r="D158" s="1">
        <v>0</v>
      </c>
      <c r="E158" s="1">
        <v>1</v>
      </c>
      <c r="F158" s="1">
        <v>55</v>
      </c>
      <c r="G158" s="1">
        <v>499</v>
      </c>
      <c r="H158" s="93">
        <v>100</v>
      </c>
      <c r="I158" s="95">
        <v>85.416666669999998</v>
      </c>
      <c r="J158" s="96">
        <v>90.1</v>
      </c>
      <c r="K158" s="228">
        <v>79.8</v>
      </c>
      <c r="L158" s="224">
        <v>98.541666669999998</v>
      </c>
      <c r="M158" s="224">
        <v>90</v>
      </c>
      <c r="N158" s="224">
        <v>92.45</v>
      </c>
      <c r="O158" s="441">
        <v>84.34</v>
      </c>
      <c r="P158" s="178">
        <v>500</v>
      </c>
      <c r="Q158" s="1">
        <v>10</v>
      </c>
      <c r="R158" s="1" t="s">
        <v>45</v>
      </c>
      <c r="S158" s="1" t="b">
        <v>1</v>
      </c>
      <c r="T158" s="1">
        <v>8</v>
      </c>
      <c r="U158" s="1" t="b">
        <v>0</v>
      </c>
      <c r="V158" s="1" t="s">
        <v>32</v>
      </c>
      <c r="W158" s="1" t="s">
        <v>64</v>
      </c>
      <c r="X158" s="1" t="s">
        <v>38</v>
      </c>
      <c r="Y158" s="1">
        <v>48</v>
      </c>
      <c r="Z158" s="1">
        <v>48</v>
      </c>
      <c r="AA158" s="1">
        <v>1000</v>
      </c>
      <c r="AB158" s="1" t="s">
        <v>62</v>
      </c>
      <c r="AC158" s="1" t="s">
        <v>112</v>
      </c>
      <c r="AD158" s="1" t="b">
        <v>1</v>
      </c>
      <c r="AE158" s="1" t="b">
        <v>1</v>
      </c>
      <c r="AF158" s="1" t="b">
        <v>1</v>
      </c>
      <c r="AG158" s="1" t="b">
        <v>0</v>
      </c>
      <c r="AH158" s="1">
        <v>0</v>
      </c>
      <c r="AI158" s="1">
        <v>0</v>
      </c>
      <c r="AJ158" s="1">
        <v>6.2831853070000001</v>
      </c>
      <c r="AK158" s="1">
        <v>0.01</v>
      </c>
      <c r="AL158" s="1" t="s">
        <v>91</v>
      </c>
      <c r="AM158" s="1" t="str">
        <f t="shared" si="2"/>
        <v>SPACL2024-01-22 09-14-53</v>
      </c>
    </row>
    <row r="159" spans="1:39" x14ac:dyDescent="0.25">
      <c r="A159" s="2">
        <v>158</v>
      </c>
      <c r="B159" s="2" t="s">
        <v>40</v>
      </c>
      <c r="C159" s="2">
        <v>10</v>
      </c>
      <c r="D159" s="2">
        <v>4</v>
      </c>
      <c r="E159" s="2">
        <v>4</v>
      </c>
      <c r="F159" s="2">
        <v>84</v>
      </c>
      <c r="G159" s="2">
        <v>499</v>
      </c>
      <c r="H159" s="89">
        <v>97.916666669999998</v>
      </c>
      <c r="I159" s="89">
        <v>95.833333330000002</v>
      </c>
      <c r="J159" s="88">
        <v>84.8</v>
      </c>
      <c r="K159" s="442">
        <v>86.7</v>
      </c>
      <c r="L159" s="221">
        <v>91.458333330000002</v>
      </c>
      <c r="M159" s="443">
        <v>89.791666669999998</v>
      </c>
      <c r="N159" s="444">
        <v>82.02</v>
      </c>
      <c r="O159" s="221">
        <v>83.39</v>
      </c>
      <c r="P159" s="177">
        <v>500</v>
      </c>
      <c r="Q159" s="2">
        <v>10</v>
      </c>
      <c r="R159" s="2" t="s">
        <v>45</v>
      </c>
      <c r="S159" s="2" t="b">
        <v>1</v>
      </c>
      <c r="T159" s="2">
        <v>8</v>
      </c>
      <c r="U159" s="2" t="b">
        <v>0</v>
      </c>
      <c r="V159" s="2" t="s">
        <v>32</v>
      </c>
      <c r="W159" s="2" t="s">
        <v>64</v>
      </c>
      <c r="X159" s="2" t="s">
        <v>38</v>
      </c>
      <c r="Y159" s="2">
        <v>48</v>
      </c>
      <c r="Z159" s="2">
        <v>48</v>
      </c>
      <c r="AA159" s="2">
        <v>1000</v>
      </c>
      <c r="AB159" s="2" t="s">
        <v>62</v>
      </c>
      <c r="AC159" s="2" t="s">
        <v>112</v>
      </c>
      <c r="AD159" s="2" t="b">
        <v>0</v>
      </c>
      <c r="AE159" s="2" t="b">
        <v>0</v>
      </c>
      <c r="AF159" s="2" t="b">
        <v>1</v>
      </c>
      <c r="AG159" s="2" t="b">
        <v>0</v>
      </c>
      <c r="AH159" s="2">
        <v>0</v>
      </c>
      <c r="AI159" s="2">
        <v>0</v>
      </c>
      <c r="AJ159" s="2">
        <v>6.2831853070000001</v>
      </c>
      <c r="AK159" s="2">
        <v>0.01</v>
      </c>
      <c r="AL159" s="2" t="s">
        <v>92</v>
      </c>
      <c r="AM159" s="2" t="str">
        <f t="shared" si="2"/>
        <v>NCL2024-01-22 09-53-10</v>
      </c>
    </row>
    <row r="160" spans="1:39" x14ac:dyDescent="0.25">
      <c r="A160">
        <v>159</v>
      </c>
      <c r="B160" t="s">
        <v>41</v>
      </c>
      <c r="C160">
        <v>10</v>
      </c>
      <c r="D160">
        <v>1</v>
      </c>
      <c r="E160">
        <v>1</v>
      </c>
      <c r="F160">
        <v>467</v>
      </c>
      <c r="G160">
        <v>499</v>
      </c>
      <c r="H160" s="92">
        <v>95.833333330000002</v>
      </c>
      <c r="I160" s="90">
        <v>95.833333330000002</v>
      </c>
      <c r="J160" s="105">
        <v>90.6</v>
      </c>
      <c r="K160" s="445">
        <v>91.1</v>
      </c>
      <c r="L160" s="223">
        <v>87.083333330000002</v>
      </c>
      <c r="M160" s="223">
        <v>86.25</v>
      </c>
      <c r="N160" s="223">
        <v>79.569999999999993</v>
      </c>
      <c r="O160" s="223">
        <v>80.67</v>
      </c>
      <c r="P160" s="176">
        <v>500</v>
      </c>
      <c r="Q160">
        <v>10</v>
      </c>
      <c r="R160" t="s">
        <v>45</v>
      </c>
      <c r="S160" t="b">
        <v>1</v>
      </c>
      <c r="T160">
        <v>8</v>
      </c>
      <c r="U160" t="b">
        <v>0</v>
      </c>
      <c r="V160" t="s">
        <v>32</v>
      </c>
      <c r="W160" t="s">
        <v>64</v>
      </c>
      <c r="X160" t="s">
        <v>38</v>
      </c>
      <c r="Y160">
        <v>48</v>
      </c>
      <c r="Z160">
        <v>48</v>
      </c>
      <c r="AA160">
        <v>1000</v>
      </c>
      <c r="AB160" t="s">
        <v>62</v>
      </c>
      <c r="AC160" t="s">
        <v>112</v>
      </c>
      <c r="AD160" t="b">
        <v>0</v>
      </c>
      <c r="AE160" t="b">
        <v>0</v>
      </c>
      <c r="AF160" t="b">
        <v>1</v>
      </c>
      <c r="AG160" t="b">
        <v>0</v>
      </c>
      <c r="AH160">
        <v>0</v>
      </c>
      <c r="AI160">
        <v>0</v>
      </c>
      <c r="AJ160">
        <v>6.2831853070000001</v>
      </c>
      <c r="AK160">
        <v>0.01</v>
      </c>
      <c r="AL160" t="s">
        <v>92</v>
      </c>
      <c r="AM160" t="str">
        <f t="shared" si="2"/>
        <v>CL2024-01-22 09-53-10</v>
      </c>
    </row>
    <row r="161" spans="1:39" x14ac:dyDescent="0.25">
      <c r="A161">
        <v>160</v>
      </c>
      <c r="B161" t="s">
        <v>42</v>
      </c>
      <c r="C161">
        <v>10</v>
      </c>
      <c r="D161">
        <v>0</v>
      </c>
      <c r="E161">
        <v>0</v>
      </c>
      <c r="F161">
        <v>309</v>
      </c>
      <c r="G161">
        <v>499</v>
      </c>
      <c r="H161" s="91">
        <v>100</v>
      </c>
      <c r="I161" s="91">
        <v>97.916666669999998</v>
      </c>
      <c r="J161" s="91">
        <v>92.6</v>
      </c>
      <c r="K161" s="225">
        <v>93.7</v>
      </c>
      <c r="L161" s="446">
        <v>97.291666669999998</v>
      </c>
      <c r="M161" s="225">
        <v>90.208333330000002</v>
      </c>
      <c r="N161" s="447">
        <v>88.86</v>
      </c>
      <c r="O161" s="225">
        <v>86.14</v>
      </c>
      <c r="P161" s="176">
        <v>500</v>
      </c>
      <c r="Q161">
        <v>10</v>
      </c>
      <c r="R161" t="s">
        <v>45</v>
      </c>
      <c r="S161" t="b">
        <v>1</v>
      </c>
      <c r="T161">
        <v>8</v>
      </c>
      <c r="U161" t="b">
        <v>0</v>
      </c>
      <c r="V161" t="s">
        <v>32</v>
      </c>
      <c r="W161" t="s">
        <v>64</v>
      </c>
      <c r="X161" t="s">
        <v>38</v>
      </c>
      <c r="Y161">
        <v>48</v>
      </c>
      <c r="Z161">
        <v>48</v>
      </c>
      <c r="AA161">
        <v>1000</v>
      </c>
      <c r="AB161" t="s">
        <v>62</v>
      </c>
      <c r="AC161" t="s">
        <v>112</v>
      </c>
      <c r="AD161" t="b">
        <v>0</v>
      </c>
      <c r="AE161" t="b">
        <v>0</v>
      </c>
      <c r="AF161" t="b">
        <v>1</v>
      </c>
      <c r="AG161" t="b">
        <v>0</v>
      </c>
      <c r="AH161">
        <v>0</v>
      </c>
      <c r="AI161">
        <v>0</v>
      </c>
      <c r="AJ161">
        <v>6.2831853070000001</v>
      </c>
      <c r="AK161">
        <v>0.01</v>
      </c>
      <c r="AL161" t="s">
        <v>92</v>
      </c>
      <c r="AM161" t="str">
        <f t="shared" si="2"/>
        <v>ACL2024-01-22 09-53-10</v>
      </c>
    </row>
    <row r="162" spans="1:39" x14ac:dyDescent="0.25">
      <c r="A162">
        <v>161</v>
      </c>
      <c r="B162" t="s">
        <v>43</v>
      </c>
      <c r="C162">
        <v>10</v>
      </c>
      <c r="D162">
        <v>8</v>
      </c>
      <c r="E162">
        <v>4</v>
      </c>
      <c r="F162">
        <v>455</v>
      </c>
      <c r="G162">
        <v>499</v>
      </c>
      <c r="H162" s="90">
        <v>97.916666669999998</v>
      </c>
      <c r="I162" s="190">
        <v>93.75</v>
      </c>
      <c r="J162" s="90">
        <v>92.2</v>
      </c>
      <c r="K162" s="222">
        <v>88.6</v>
      </c>
      <c r="L162" s="235">
        <v>90</v>
      </c>
      <c r="M162" s="222">
        <v>88.958333330000002</v>
      </c>
      <c r="N162" s="222">
        <v>82.79</v>
      </c>
      <c r="O162" s="448">
        <v>83.57</v>
      </c>
      <c r="P162" s="176">
        <v>500</v>
      </c>
      <c r="Q162">
        <v>10</v>
      </c>
      <c r="R162" t="s">
        <v>45</v>
      </c>
      <c r="S162" t="b">
        <v>1</v>
      </c>
      <c r="T162">
        <v>8</v>
      </c>
      <c r="U162" t="b">
        <v>0</v>
      </c>
      <c r="V162" t="s">
        <v>32</v>
      </c>
      <c r="W162" t="s">
        <v>64</v>
      </c>
      <c r="X162" t="s">
        <v>38</v>
      </c>
      <c r="Y162">
        <v>48</v>
      </c>
      <c r="Z162">
        <v>48</v>
      </c>
      <c r="AA162">
        <v>1000</v>
      </c>
      <c r="AB162" t="s">
        <v>62</v>
      </c>
      <c r="AC162" t="s">
        <v>112</v>
      </c>
      <c r="AD162" t="b">
        <v>0</v>
      </c>
      <c r="AE162" t="b">
        <v>0</v>
      </c>
      <c r="AF162" t="b">
        <v>1</v>
      </c>
      <c r="AG162" t="b">
        <v>0</v>
      </c>
      <c r="AH162">
        <v>0</v>
      </c>
      <c r="AI162">
        <v>0</v>
      </c>
      <c r="AJ162">
        <v>6.2831853070000001</v>
      </c>
      <c r="AK162">
        <v>0.01</v>
      </c>
      <c r="AL162" t="s">
        <v>92</v>
      </c>
      <c r="AM162" t="str">
        <f t="shared" si="2"/>
        <v>SPCL2024-01-22 09-53-10</v>
      </c>
    </row>
    <row r="163" spans="1:39" x14ac:dyDescent="0.25">
      <c r="A163">
        <v>162</v>
      </c>
      <c r="B163" s="1" t="s">
        <v>44</v>
      </c>
      <c r="C163" s="1">
        <v>10</v>
      </c>
      <c r="D163" s="1">
        <v>0</v>
      </c>
      <c r="E163" s="1">
        <v>1</v>
      </c>
      <c r="F163" s="1">
        <v>28</v>
      </c>
      <c r="G163" s="1">
        <v>499</v>
      </c>
      <c r="H163" s="93">
        <v>100</v>
      </c>
      <c r="I163" s="95">
        <v>87.5</v>
      </c>
      <c r="J163" s="191">
        <v>92.3</v>
      </c>
      <c r="K163" s="228">
        <v>80.2</v>
      </c>
      <c r="L163" s="224">
        <v>98.75</v>
      </c>
      <c r="M163" s="449">
        <v>87.916666669999998</v>
      </c>
      <c r="N163" s="224">
        <v>90.82</v>
      </c>
      <c r="O163" s="450">
        <v>83.03</v>
      </c>
      <c r="P163" s="178">
        <v>500</v>
      </c>
      <c r="Q163" s="1">
        <v>10</v>
      </c>
      <c r="R163" s="1" t="s">
        <v>45</v>
      </c>
      <c r="S163" s="1" t="b">
        <v>1</v>
      </c>
      <c r="T163" s="1">
        <v>8</v>
      </c>
      <c r="U163" s="1" t="b">
        <v>0</v>
      </c>
      <c r="V163" s="1" t="s">
        <v>32</v>
      </c>
      <c r="W163" s="1" t="s">
        <v>64</v>
      </c>
      <c r="X163" s="1" t="s">
        <v>38</v>
      </c>
      <c r="Y163" s="1">
        <v>48</v>
      </c>
      <c r="Z163" s="1">
        <v>48</v>
      </c>
      <c r="AA163" s="1">
        <v>1000</v>
      </c>
      <c r="AB163" s="1" t="s">
        <v>62</v>
      </c>
      <c r="AC163" s="1" t="s">
        <v>112</v>
      </c>
      <c r="AD163" s="1" t="b">
        <v>0</v>
      </c>
      <c r="AE163" s="1" t="b">
        <v>0</v>
      </c>
      <c r="AF163" s="1" t="b">
        <v>1</v>
      </c>
      <c r="AG163" s="1" t="b">
        <v>0</v>
      </c>
      <c r="AH163" s="1">
        <v>0</v>
      </c>
      <c r="AI163" s="1">
        <v>0</v>
      </c>
      <c r="AJ163" s="1">
        <v>6.2831853070000001</v>
      </c>
      <c r="AK163" s="1">
        <v>0.01</v>
      </c>
      <c r="AL163" s="1" t="s">
        <v>92</v>
      </c>
      <c r="AM163" s="1" t="str">
        <f t="shared" si="2"/>
        <v>SPACL2024-01-22 09-53-10</v>
      </c>
    </row>
    <row r="164" spans="1:39" x14ac:dyDescent="0.25">
      <c r="A164" s="2">
        <v>163</v>
      </c>
      <c r="B164" t="s">
        <v>40</v>
      </c>
      <c r="C164">
        <v>10</v>
      </c>
      <c r="D164">
        <v>8</v>
      </c>
      <c r="E164">
        <v>3</v>
      </c>
      <c r="F164">
        <v>660</v>
      </c>
      <c r="G164">
        <v>1999</v>
      </c>
      <c r="H164" s="90">
        <v>98</v>
      </c>
      <c r="I164" s="91">
        <v>95</v>
      </c>
      <c r="J164" s="91">
        <v>91.4</v>
      </c>
      <c r="K164" s="90">
        <v>88.9</v>
      </c>
      <c r="L164" s="90">
        <v>91.7</v>
      </c>
      <c r="M164" s="90">
        <v>90.6</v>
      </c>
      <c r="N164" s="90">
        <v>85.95</v>
      </c>
      <c r="O164" s="90">
        <v>86.53</v>
      </c>
      <c r="P164" s="177">
        <v>2000</v>
      </c>
      <c r="Q164" s="2">
        <v>10</v>
      </c>
      <c r="R164" s="2" t="s">
        <v>83</v>
      </c>
      <c r="S164" s="2" t="b">
        <v>1</v>
      </c>
      <c r="T164" s="2">
        <v>8</v>
      </c>
      <c r="U164" s="2" t="b">
        <v>0</v>
      </c>
      <c r="V164" s="2" t="s">
        <v>32</v>
      </c>
      <c r="W164" s="2" t="s">
        <v>64</v>
      </c>
      <c r="X164" s="2" t="s">
        <v>38</v>
      </c>
      <c r="Y164" s="2">
        <v>100</v>
      </c>
      <c r="Z164" s="2">
        <v>100</v>
      </c>
      <c r="AA164" s="2">
        <v>1000</v>
      </c>
      <c r="AB164" s="2" t="s">
        <v>107</v>
      </c>
      <c r="AC164" s="2" t="s">
        <v>108</v>
      </c>
      <c r="AD164" s="2" t="b">
        <v>0</v>
      </c>
      <c r="AE164" s="2" t="b">
        <v>0</v>
      </c>
      <c r="AF164" s="2" t="b">
        <v>1</v>
      </c>
      <c r="AG164" s="2" t="b">
        <v>0</v>
      </c>
      <c r="AH164" s="2">
        <v>0</v>
      </c>
      <c r="AI164" s="2">
        <v>0</v>
      </c>
      <c r="AJ164" s="2">
        <v>6.2831853070000001</v>
      </c>
      <c r="AK164" s="2">
        <v>1E-3</v>
      </c>
      <c r="AL164" s="2" t="s">
        <v>109</v>
      </c>
      <c r="AM164" s="2" t="str">
        <f t="shared" si="2"/>
        <v>NCL2024-01-23 15-28-02</v>
      </c>
    </row>
    <row r="165" spans="1:39" x14ac:dyDescent="0.25">
      <c r="A165">
        <v>164</v>
      </c>
      <c r="B165" t="s">
        <v>41</v>
      </c>
      <c r="C165">
        <v>10</v>
      </c>
      <c r="D165">
        <v>8</v>
      </c>
      <c r="E165">
        <v>8</v>
      </c>
      <c r="F165">
        <v>1457</v>
      </c>
      <c r="G165">
        <v>1999</v>
      </c>
      <c r="H165" s="92">
        <v>95</v>
      </c>
      <c r="I165" s="90">
        <v>94</v>
      </c>
      <c r="J165" s="92">
        <v>89.6</v>
      </c>
      <c r="K165" s="91">
        <v>91.7</v>
      </c>
      <c r="L165" s="92">
        <v>90.7</v>
      </c>
      <c r="M165" s="92">
        <v>89.9</v>
      </c>
      <c r="N165" s="92">
        <v>84.97</v>
      </c>
      <c r="O165" s="92">
        <v>85.41</v>
      </c>
      <c r="P165" s="176">
        <v>2000</v>
      </c>
      <c r="Q165">
        <v>10</v>
      </c>
      <c r="R165" t="s">
        <v>83</v>
      </c>
      <c r="S165" t="b">
        <v>1</v>
      </c>
      <c r="T165">
        <v>8</v>
      </c>
      <c r="U165" t="b">
        <v>0</v>
      </c>
      <c r="V165" t="s">
        <v>32</v>
      </c>
      <c r="W165" t="s">
        <v>64</v>
      </c>
      <c r="X165" t="s">
        <v>38</v>
      </c>
      <c r="Y165">
        <v>100</v>
      </c>
      <c r="Z165">
        <v>100</v>
      </c>
      <c r="AA165">
        <v>1000</v>
      </c>
      <c r="AB165" t="s">
        <v>107</v>
      </c>
      <c r="AC165" t="s">
        <v>108</v>
      </c>
      <c r="AD165" t="b">
        <v>0</v>
      </c>
      <c r="AE165" t="b">
        <v>0</v>
      </c>
      <c r="AF165" t="b">
        <v>1</v>
      </c>
      <c r="AG165" t="b">
        <v>0</v>
      </c>
      <c r="AH165">
        <v>0</v>
      </c>
      <c r="AI165">
        <v>0</v>
      </c>
      <c r="AJ165">
        <v>6.2831853070000001</v>
      </c>
      <c r="AK165">
        <v>1E-3</v>
      </c>
      <c r="AL165" t="s">
        <v>109</v>
      </c>
      <c r="AM165" t="str">
        <f t="shared" si="2"/>
        <v>CL2024-01-23 15-28-02</v>
      </c>
    </row>
    <row r="166" spans="1:39" x14ac:dyDescent="0.25">
      <c r="A166">
        <v>165</v>
      </c>
      <c r="B166" t="s">
        <v>42</v>
      </c>
      <c r="C166">
        <v>10</v>
      </c>
      <c r="D166">
        <v>5</v>
      </c>
      <c r="E166">
        <v>7</v>
      </c>
      <c r="F166">
        <v>1243</v>
      </c>
      <c r="G166">
        <v>1999</v>
      </c>
      <c r="H166" s="91">
        <v>99</v>
      </c>
      <c r="I166" s="92">
        <v>92</v>
      </c>
      <c r="J166" s="90">
        <v>91</v>
      </c>
      <c r="K166" s="92">
        <v>88.1</v>
      </c>
      <c r="L166" s="91">
        <v>97</v>
      </c>
      <c r="M166" s="91">
        <v>92.1</v>
      </c>
      <c r="N166" s="91">
        <v>91.06</v>
      </c>
      <c r="O166" s="91">
        <v>88.12</v>
      </c>
      <c r="P166" s="176">
        <v>2000</v>
      </c>
      <c r="Q166">
        <v>10</v>
      </c>
      <c r="R166" t="s">
        <v>83</v>
      </c>
      <c r="S166" t="b">
        <v>1</v>
      </c>
      <c r="T166">
        <v>8</v>
      </c>
      <c r="U166" t="b">
        <v>0</v>
      </c>
      <c r="V166" t="s">
        <v>32</v>
      </c>
      <c r="W166" t="s">
        <v>64</v>
      </c>
      <c r="X166" t="s">
        <v>38</v>
      </c>
      <c r="Y166">
        <v>100</v>
      </c>
      <c r="Z166">
        <v>100</v>
      </c>
      <c r="AA166">
        <v>1000</v>
      </c>
      <c r="AB166" t="s">
        <v>107</v>
      </c>
      <c r="AC166" t="s">
        <v>108</v>
      </c>
      <c r="AD166" t="b">
        <v>0</v>
      </c>
      <c r="AE166" t="b">
        <v>0</v>
      </c>
      <c r="AF166" t="b">
        <v>1</v>
      </c>
      <c r="AG166" t="b">
        <v>0</v>
      </c>
      <c r="AH166">
        <v>0</v>
      </c>
      <c r="AI166">
        <v>0</v>
      </c>
      <c r="AJ166">
        <v>6.2831853070000001</v>
      </c>
      <c r="AK166">
        <v>1E-3</v>
      </c>
      <c r="AL166" t="s">
        <v>109</v>
      </c>
      <c r="AM166" t="str">
        <f t="shared" si="2"/>
        <v>ACL2024-01-23 15-28-02</v>
      </c>
    </row>
    <row r="167" spans="1:39" x14ac:dyDescent="0.25">
      <c r="A167" s="2">
        <v>168</v>
      </c>
      <c r="B167" s="2" t="s">
        <v>40</v>
      </c>
      <c r="C167" s="177">
        <v>10</v>
      </c>
      <c r="D167" s="2">
        <v>6</v>
      </c>
      <c r="E167" s="2">
        <v>0</v>
      </c>
      <c r="F167" s="2">
        <v>189</v>
      </c>
      <c r="G167" s="2">
        <v>1999</v>
      </c>
      <c r="H167" s="89">
        <v>96</v>
      </c>
      <c r="I167" s="88">
        <v>88</v>
      </c>
      <c r="J167" s="94">
        <v>92.3</v>
      </c>
      <c r="K167" s="88">
        <v>81.900000000000006</v>
      </c>
      <c r="L167" s="89">
        <v>92.7</v>
      </c>
      <c r="M167" s="94">
        <v>89</v>
      </c>
      <c r="N167" s="89">
        <v>87.6</v>
      </c>
      <c r="O167" s="481">
        <v>84.65</v>
      </c>
      <c r="P167" s="177">
        <v>2000</v>
      </c>
      <c r="Q167" s="2">
        <v>10</v>
      </c>
      <c r="R167" s="2" t="s">
        <v>83</v>
      </c>
      <c r="S167" s="2" t="b">
        <v>1</v>
      </c>
      <c r="T167" s="2">
        <v>8</v>
      </c>
      <c r="U167" s="2" t="b">
        <v>0</v>
      </c>
      <c r="V167" s="2" t="s">
        <v>32</v>
      </c>
      <c r="W167" s="2" t="s">
        <v>64</v>
      </c>
      <c r="X167" s="2" t="s">
        <v>38</v>
      </c>
      <c r="Y167" s="2">
        <v>100</v>
      </c>
      <c r="Z167" s="2">
        <v>100</v>
      </c>
      <c r="AA167" s="2">
        <v>1000</v>
      </c>
      <c r="AB167" s="2" t="s">
        <v>107</v>
      </c>
      <c r="AC167" s="2" t="s">
        <v>108</v>
      </c>
      <c r="AD167" s="2" t="b">
        <v>0</v>
      </c>
      <c r="AE167" s="2" t="b">
        <v>0</v>
      </c>
      <c r="AF167" s="2" t="b">
        <v>1</v>
      </c>
      <c r="AG167" s="2" t="b">
        <v>0</v>
      </c>
      <c r="AH167" s="2">
        <v>0</v>
      </c>
      <c r="AI167" s="2">
        <v>0</v>
      </c>
      <c r="AJ167" s="2">
        <v>6.2831853070000001</v>
      </c>
      <c r="AK167" s="2">
        <v>1E-3</v>
      </c>
      <c r="AL167" s="2" t="s">
        <v>113</v>
      </c>
      <c r="AM167" s="2" t="str">
        <f t="shared" si="2"/>
        <v>NCL2024-01-24 11-53-34</v>
      </c>
    </row>
    <row r="168" spans="1:39" x14ac:dyDescent="0.25">
      <c r="A168">
        <v>169</v>
      </c>
      <c r="B168" t="s">
        <v>41</v>
      </c>
      <c r="C168" s="176">
        <v>10</v>
      </c>
      <c r="D168" s="480">
        <v>8</v>
      </c>
      <c r="E168" s="480">
        <v>8</v>
      </c>
      <c r="F168" s="480">
        <v>1977</v>
      </c>
      <c r="G168" s="480">
        <v>1999</v>
      </c>
      <c r="H168" s="482">
        <v>91</v>
      </c>
      <c r="I168" s="483">
        <v>91</v>
      </c>
      <c r="J168" s="482">
        <v>86</v>
      </c>
      <c r="K168" s="483">
        <v>85.9</v>
      </c>
      <c r="L168" s="482">
        <v>85.5</v>
      </c>
      <c r="M168" s="482">
        <v>84.7</v>
      </c>
      <c r="N168" s="482">
        <v>80.61</v>
      </c>
      <c r="O168" s="484">
        <v>80.58</v>
      </c>
      <c r="P168" s="176">
        <v>2000</v>
      </c>
      <c r="Q168">
        <v>10</v>
      </c>
      <c r="R168" t="s">
        <v>83</v>
      </c>
      <c r="S168" t="b">
        <v>1</v>
      </c>
      <c r="T168">
        <v>8</v>
      </c>
      <c r="U168" t="b">
        <v>0</v>
      </c>
      <c r="V168" t="s">
        <v>32</v>
      </c>
      <c r="W168" t="s">
        <v>64</v>
      </c>
      <c r="X168" t="s">
        <v>38</v>
      </c>
      <c r="Y168">
        <v>100</v>
      </c>
      <c r="Z168">
        <v>100</v>
      </c>
      <c r="AA168">
        <v>1000</v>
      </c>
      <c r="AB168" t="s">
        <v>107</v>
      </c>
      <c r="AC168" t="s">
        <v>108</v>
      </c>
      <c r="AD168" t="b">
        <v>0</v>
      </c>
      <c r="AE168" t="b">
        <v>0</v>
      </c>
      <c r="AF168" t="b">
        <v>1</v>
      </c>
      <c r="AG168" t="b">
        <v>0</v>
      </c>
      <c r="AH168">
        <v>0</v>
      </c>
      <c r="AI168">
        <v>0</v>
      </c>
      <c r="AJ168">
        <v>6.2831853070000001</v>
      </c>
      <c r="AK168">
        <v>1E-3</v>
      </c>
      <c r="AL168" t="s">
        <v>113</v>
      </c>
      <c r="AM168" t="str">
        <f t="shared" si="2"/>
        <v>CL2024-01-24 11-53-34</v>
      </c>
    </row>
    <row r="169" spans="1:39" x14ac:dyDescent="0.25">
      <c r="A169">
        <v>170</v>
      </c>
      <c r="B169" t="s">
        <v>42</v>
      </c>
      <c r="C169" s="178">
        <v>10</v>
      </c>
      <c r="D169" s="1">
        <v>8</v>
      </c>
      <c r="E169" s="1">
        <v>8</v>
      </c>
      <c r="F169" s="1">
        <v>1756</v>
      </c>
      <c r="G169" s="1">
        <v>1999</v>
      </c>
      <c r="H169" s="93">
        <v>99</v>
      </c>
      <c r="I169" s="93">
        <v>96</v>
      </c>
      <c r="J169" s="96">
        <v>91.8</v>
      </c>
      <c r="K169" s="93">
        <v>92.1</v>
      </c>
      <c r="L169" s="93">
        <v>95.9</v>
      </c>
      <c r="M169" s="93">
        <v>89</v>
      </c>
      <c r="N169" s="93">
        <v>89.53</v>
      </c>
      <c r="O169" s="485">
        <v>84.32</v>
      </c>
      <c r="P169" s="176">
        <v>2000</v>
      </c>
      <c r="Q169">
        <v>10</v>
      </c>
      <c r="R169" t="s">
        <v>83</v>
      </c>
      <c r="S169" t="b">
        <v>1</v>
      </c>
      <c r="T169">
        <v>8</v>
      </c>
      <c r="U169" t="b">
        <v>0</v>
      </c>
      <c r="V169" t="s">
        <v>32</v>
      </c>
      <c r="W169" t="s">
        <v>64</v>
      </c>
      <c r="X169" t="s">
        <v>38</v>
      </c>
      <c r="Y169">
        <v>100</v>
      </c>
      <c r="Z169">
        <v>100</v>
      </c>
      <c r="AA169">
        <v>1000</v>
      </c>
      <c r="AB169" t="s">
        <v>107</v>
      </c>
      <c r="AC169" t="s">
        <v>108</v>
      </c>
      <c r="AD169" t="b">
        <v>0</v>
      </c>
      <c r="AE169" t="b">
        <v>0</v>
      </c>
      <c r="AF169" t="b">
        <v>1</v>
      </c>
      <c r="AG169" t="b">
        <v>0</v>
      </c>
      <c r="AH169">
        <v>0</v>
      </c>
      <c r="AI169">
        <v>0</v>
      </c>
      <c r="AJ169">
        <v>6.2831853070000001</v>
      </c>
      <c r="AK169">
        <v>1E-3</v>
      </c>
      <c r="AL169" t="s">
        <v>113</v>
      </c>
      <c r="AM169" t="str">
        <f t="shared" si="2"/>
        <v>ACL2024-01-24 11-53-34</v>
      </c>
    </row>
    <row r="170" spans="1:39" x14ac:dyDescent="0.25">
      <c r="A170" s="2">
        <v>173</v>
      </c>
      <c r="B170" s="2" t="s">
        <v>40</v>
      </c>
      <c r="C170" s="177">
        <v>10</v>
      </c>
      <c r="D170" s="2">
        <v>5</v>
      </c>
      <c r="E170" s="2">
        <v>5</v>
      </c>
      <c r="F170" s="2">
        <v>637</v>
      </c>
      <c r="G170" s="2">
        <v>1999</v>
      </c>
      <c r="H170" s="94">
        <v>97</v>
      </c>
      <c r="I170" s="94">
        <v>94</v>
      </c>
      <c r="J170" s="94">
        <v>93.2</v>
      </c>
      <c r="K170" s="91">
        <v>92.1</v>
      </c>
      <c r="L170" s="90">
        <v>89.8</v>
      </c>
      <c r="M170" s="90">
        <v>87.1</v>
      </c>
      <c r="N170" s="90">
        <v>84.15</v>
      </c>
      <c r="O170" s="90">
        <v>83.59</v>
      </c>
      <c r="P170" s="177">
        <v>2000</v>
      </c>
      <c r="Q170" s="2">
        <v>10</v>
      </c>
      <c r="R170" s="2" t="s">
        <v>83</v>
      </c>
      <c r="S170" s="2" t="b">
        <v>1</v>
      </c>
      <c r="T170" s="2">
        <v>8</v>
      </c>
      <c r="U170" s="2" t="b">
        <v>0</v>
      </c>
      <c r="V170" s="2" t="s">
        <v>32</v>
      </c>
      <c r="W170" s="2" t="s">
        <v>64</v>
      </c>
      <c r="X170" s="2" t="s">
        <v>38</v>
      </c>
      <c r="Y170" s="2">
        <v>100</v>
      </c>
      <c r="Z170" s="2">
        <v>100</v>
      </c>
      <c r="AA170" s="2">
        <v>1000</v>
      </c>
      <c r="AB170" s="2" t="s">
        <v>107</v>
      </c>
      <c r="AC170" s="2" t="s">
        <v>108</v>
      </c>
      <c r="AD170" s="2" t="b">
        <v>0</v>
      </c>
      <c r="AE170" s="2" t="b">
        <v>0</v>
      </c>
      <c r="AF170" s="2" t="b">
        <v>1</v>
      </c>
      <c r="AG170" s="2" t="b">
        <v>0</v>
      </c>
      <c r="AH170" s="2">
        <v>0</v>
      </c>
      <c r="AI170" s="2">
        <v>0</v>
      </c>
      <c r="AJ170" s="2">
        <v>6.2831853070000001</v>
      </c>
      <c r="AK170" s="2">
        <v>1E-3</v>
      </c>
      <c r="AL170" s="2" t="s">
        <v>114</v>
      </c>
      <c r="AM170" s="2" t="str">
        <f t="shared" si="2"/>
        <v>NCL2024-01-24 11-55-47</v>
      </c>
    </row>
    <row r="171" spans="1:39" x14ac:dyDescent="0.25">
      <c r="A171">
        <v>174</v>
      </c>
      <c r="B171" t="s">
        <v>41</v>
      </c>
      <c r="C171" s="176">
        <v>10</v>
      </c>
      <c r="D171" s="480">
        <v>3</v>
      </c>
      <c r="E171" s="480">
        <v>3</v>
      </c>
      <c r="F171" s="480">
        <v>1989</v>
      </c>
      <c r="G171" s="480">
        <v>1999</v>
      </c>
      <c r="H171" s="482">
        <v>92</v>
      </c>
      <c r="I171" s="482">
        <v>92</v>
      </c>
      <c r="J171" s="482">
        <v>81.8</v>
      </c>
      <c r="K171" s="92">
        <v>82</v>
      </c>
      <c r="L171" s="92">
        <v>85.8</v>
      </c>
      <c r="M171" s="92">
        <v>85.6</v>
      </c>
      <c r="N171" s="92">
        <v>78.959999999999994</v>
      </c>
      <c r="O171" s="92">
        <v>80.2</v>
      </c>
      <c r="P171" s="176">
        <v>2000</v>
      </c>
      <c r="Q171">
        <v>10</v>
      </c>
      <c r="R171" t="s">
        <v>83</v>
      </c>
      <c r="S171" t="b">
        <v>1</v>
      </c>
      <c r="T171">
        <v>8</v>
      </c>
      <c r="U171" t="b">
        <v>0</v>
      </c>
      <c r="V171" t="s">
        <v>32</v>
      </c>
      <c r="W171" t="s">
        <v>64</v>
      </c>
      <c r="X171" t="s">
        <v>38</v>
      </c>
      <c r="Y171">
        <v>100</v>
      </c>
      <c r="Z171">
        <v>100</v>
      </c>
      <c r="AA171">
        <v>1000</v>
      </c>
      <c r="AB171" t="s">
        <v>107</v>
      </c>
      <c r="AC171" t="s">
        <v>108</v>
      </c>
      <c r="AD171" t="b">
        <v>0</v>
      </c>
      <c r="AE171" t="b">
        <v>0</v>
      </c>
      <c r="AF171" t="b">
        <v>1</v>
      </c>
      <c r="AG171" t="b">
        <v>0</v>
      </c>
      <c r="AH171">
        <v>0</v>
      </c>
      <c r="AI171">
        <v>0</v>
      </c>
      <c r="AJ171">
        <v>6.2831853070000001</v>
      </c>
      <c r="AK171">
        <v>1E-3</v>
      </c>
      <c r="AL171" t="s">
        <v>114</v>
      </c>
      <c r="AM171" t="str">
        <f t="shared" si="2"/>
        <v>CL2024-01-24 11-55-47</v>
      </c>
    </row>
    <row r="172" spans="1:39" x14ac:dyDescent="0.25">
      <c r="A172">
        <v>175</v>
      </c>
      <c r="B172" t="s">
        <v>42</v>
      </c>
      <c r="C172" s="176">
        <v>10</v>
      </c>
      <c r="D172" s="480">
        <v>0</v>
      </c>
      <c r="E172" s="480">
        <v>3</v>
      </c>
      <c r="F172" s="480">
        <v>1604</v>
      </c>
      <c r="G172" s="480">
        <v>1999</v>
      </c>
      <c r="H172" s="486">
        <v>97</v>
      </c>
      <c r="I172" s="483">
        <v>93</v>
      </c>
      <c r="J172" s="483">
        <v>87.3</v>
      </c>
      <c r="K172" s="90">
        <v>85.5</v>
      </c>
      <c r="L172" s="91">
        <v>96.3</v>
      </c>
      <c r="M172" s="91">
        <v>92.5</v>
      </c>
      <c r="N172" s="91">
        <v>89.56</v>
      </c>
      <c r="O172" s="91">
        <v>87.56</v>
      </c>
      <c r="P172" s="176">
        <v>2000</v>
      </c>
      <c r="Q172">
        <v>10</v>
      </c>
      <c r="R172" t="s">
        <v>83</v>
      </c>
      <c r="S172" t="b">
        <v>1</v>
      </c>
      <c r="T172">
        <v>8</v>
      </c>
      <c r="U172" t="b">
        <v>0</v>
      </c>
      <c r="V172" t="s">
        <v>32</v>
      </c>
      <c r="W172" t="s">
        <v>64</v>
      </c>
      <c r="X172" t="s">
        <v>38</v>
      </c>
      <c r="Y172">
        <v>100</v>
      </c>
      <c r="Z172">
        <v>100</v>
      </c>
      <c r="AA172">
        <v>1000</v>
      </c>
      <c r="AB172" t="s">
        <v>107</v>
      </c>
      <c r="AC172" t="s">
        <v>108</v>
      </c>
      <c r="AD172" t="b">
        <v>0</v>
      </c>
      <c r="AE172" t="b">
        <v>0</v>
      </c>
      <c r="AF172" t="b">
        <v>1</v>
      </c>
      <c r="AG172" t="b">
        <v>0</v>
      </c>
      <c r="AH172">
        <v>0</v>
      </c>
      <c r="AI172">
        <v>0</v>
      </c>
      <c r="AJ172">
        <v>6.2831853070000001</v>
      </c>
      <c r="AK172">
        <v>1E-3</v>
      </c>
      <c r="AL172" t="s">
        <v>114</v>
      </c>
      <c r="AM172" t="str">
        <f t="shared" si="2"/>
        <v>ACL2024-01-24 11-55-47</v>
      </c>
    </row>
    <row r="173" spans="1:39" x14ac:dyDescent="0.25">
      <c r="A173" s="2">
        <v>178</v>
      </c>
      <c r="B173" s="2" t="s">
        <v>40</v>
      </c>
      <c r="C173" s="177">
        <v>10</v>
      </c>
      <c r="D173" s="2">
        <v>0</v>
      </c>
      <c r="E173" s="2">
        <v>0</v>
      </c>
      <c r="F173" s="2">
        <v>1009</v>
      </c>
      <c r="G173" s="2">
        <v>1999</v>
      </c>
      <c r="H173" s="89">
        <v>93</v>
      </c>
      <c r="I173" s="89">
        <v>93</v>
      </c>
      <c r="J173" s="88">
        <v>84.5</v>
      </c>
      <c r="K173" s="88">
        <v>86.3</v>
      </c>
      <c r="L173" s="89">
        <v>88.6</v>
      </c>
      <c r="M173" s="89">
        <v>87.1</v>
      </c>
      <c r="N173" s="89">
        <v>83.47</v>
      </c>
      <c r="O173" s="487">
        <v>83.37</v>
      </c>
      <c r="P173" s="177">
        <v>2000</v>
      </c>
      <c r="Q173" s="2">
        <v>10</v>
      </c>
      <c r="R173" s="2" t="s">
        <v>83</v>
      </c>
      <c r="S173" s="2" t="b">
        <v>1</v>
      </c>
      <c r="T173" s="2">
        <v>8</v>
      </c>
      <c r="U173" s="2" t="b">
        <v>0</v>
      </c>
      <c r="V173" s="2" t="s">
        <v>115</v>
      </c>
      <c r="W173" s="2" t="s">
        <v>64</v>
      </c>
      <c r="X173" s="2" t="s">
        <v>74</v>
      </c>
      <c r="Y173" s="2">
        <v>100</v>
      </c>
      <c r="Z173" s="2">
        <v>100</v>
      </c>
      <c r="AA173" s="2">
        <v>1000</v>
      </c>
      <c r="AB173" s="2" t="s">
        <v>107</v>
      </c>
      <c r="AC173" s="2" t="s">
        <v>108</v>
      </c>
      <c r="AD173" s="2" t="b">
        <v>0</v>
      </c>
      <c r="AE173" s="2" t="b">
        <v>0</v>
      </c>
      <c r="AF173" s="2" t="b">
        <v>1</v>
      </c>
      <c r="AG173" s="2" t="b">
        <v>0</v>
      </c>
      <c r="AH173" s="2">
        <v>0</v>
      </c>
      <c r="AI173" s="2">
        <v>0</v>
      </c>
      <c r="AJ173" s="2">
        <v>6.2831853070000001</v>
      </c>
      <c r="AK173" s="2">
        <v>1E-3</v>
      </c>
      <c r="AL173" s="2" t="s">
        <v>116</v>
      </c>
      <c r="AM173" s="2" t="str">
        <f t="shared" si="2"/>
        <v>NCL2024-01-24 23-04-02</v>
      </c>
    </row>
    <row r="174" spans="1:39" x14ac:dyDescent="0.25">
      <c r="A174">
        <v>179</v>
      </c>
      <c r="B174" t="s">
        <v>41</v>
      </c>
      <c r="C174" s="176">
        <v>10</v>
      </c>
      <c r="D174" s="480">
        <v>5</v>
      </c>
      <c r="E174" s="480">
        <v>5</v>
      </c>
      <c r="F174" s="480">
        <v>1720</v>
      </c>
      <c r="G174" s="480">
        <v>1999</v>
      </c>
      <c r="H174" s="482">
        <v>91</v>
      </c>
      <c r="I174" s="482">
        <v>91</v>
      </c>
      <c r="J174" s="483">
        <v>85.5</v>
      </c>
      <c r="K174" s="483">
        <v>86.5</v>
      </c>
      <c r="L174" s="482">
        <v>83.7</v>
      </c>
      <c r="M174" s="482">
        <v>83.3</v>
      </c>
      <c r="N174" s="482">
        <v>79.569999999999993</v>
      </c>
      <c r="O174" s="484">
        <v>80</v>
      </c>
      <c r="P174" s="176">
        <v>2000</v>
      </c>
      <c r="Q174">
        <v>10</v>
      </c>
      <c r="R174" t="s">
        <v>83</v>
      </c>
      <c r="S174" t="b">
        <v>1</v>
      </c>
      <c r="T174">
        <v>8</v>
      </c>
      <c r="U174" t="b">
        <v>0</v>
      </c>
      <c r="V174" t="s">
        <v>115</v>
      </c>
      <c r="W174" t="s">
        <v>64</v>
      </c>
      <c r="X174" t="s">
        <v>74</v>
      </c>
      <c r="Y174">
        <v>100</v>
      </c>
      <c r="Z174">
        <v>100</v>
      </c>
      <c r="AA174">
        <v>1000</v>
      </c>
      <c r="AB174" t="s">
        <v>107</v>
      </c>
      <c r="AC174" t="s">
        <v>108</v>
      </c>
      <c r="AD174" t="b">
        <v>0</v>
      </c>
      <c r="AE174" t="b">
        <v>0</v>
      </c>
      <c r="AF174" t="b">
        <v>1</v>
      </c>
      <c r="AG174" t="b">
        <v>0</v>
      </c>
      <c r="AH174">
        <v>0</v>
      </c>
      <c r="AI174">
        <v>0</v>
      </c>
      <c r="AJ174">
        <v>6.2831853070000001</v>
      </c>
      <c r="AK174">
        <v>1E-3</v>
      </c>
      <c r="AL174" t="s">
        <v>116</v>
      </c>
      <c r="AM174" t="str">
        <f t="shared" si="2"/>
        <v>CL2024-01-24 23-04-02</v>
      </c>
    </row>
    <row r="175" spans="1:39" x14ac:dyDescent="0.25">
      <c r="A175">
        <v>180</v>
      </c>
      <c r="B175" t="s">
        <v>42</v>
      </c>
      <c r="C175" s="178">
        <v>10</v>
      </c>
      <c r="D175" s="1">
        <v>1</v>
      </c>
      <c r="E175" s="1">
        <v>0</v>
      </c>
      <c r="F175" s="1">
        <v>1646</v>
      </c>
      <c r="G175" s="1">
        <v>1999</v>
      </c>
      <c r="H175" s="93">
        <v>99</v>
      </c>
      <c r="I175" s="93">
        <v>96</v>
      </c>
      <c r="J175" s="93">
        <v>90.2</v>
      </c>
      <c r="K175" s="93">
        <v>88.9</v>
      </c>
      <c r="L175" s="93">
        <v>97</v>
      </c>
      <c r="M175" s="93">
        <v>91.6</v>
      </c>
      <c r="N175" s="93">
        <v>90.8</v>
      </c>
      <c r="O175" s="488">
        <v>86.83</v>
      </c>
      <c r="P175" s="176">
        <v>2000</v>
      </c>
      <c r="Q175">
        <v>10</v>
      </c>
      <c r="R175" t="s">
        <v>83</v>
      </c>
      <c r="S175" t="b">
        <v>1</v>
      </c>
      <c r="T175">
        <v>8</v>
      </c>
      <c r="U175" t="b">
        <v>0</v>
      </c>
      <c r="V175" t="s">
        <v>115</v>
      </c>
      <c r="W175" t="s">
        <v>64</v>
      </c>
      <c r="X175" t="s">
        <v>74</v>
      </c>
      <c r="Y175">
        <v>100</v>
      </c>
      <c r="Z175">
        <v>100</v>
      </c>
      <c r="AA175">
        <v>1000</v>
      </c>
      <c r="AB175" t="s">
        <v>107</v>
      </c>
      <c r="AC175" t="s">
        <v>108</v>
      </c>
      <c r="AD175" t="b">
        <v>0</v>
      </c>
      <c r="AE175" t="b">
        <v>0</v>
      </c>
      <c r="AF175" t="b">
        <v>1</v>
      </c>
      <c r="AG175" t="b">
        <v>0</v>
      </c>
      <c r="AH175">
        <v>0</v>
      </c>
      <c r="AI175">
        <v>0</v>
      </c>
      <c r="AJ175">
        <v>6.2831853070000001</v>
      </c>
      <c r="AK175">
        <v>1E-3</v>
      </c>
      <c r="AL175" t="s">
        <v>116</v>
      </c>
      <c r="AM175" t="str">
        <f t="shared" si="2"/>
        <v>ACL2024-01-24 23-04-02</v>
      </c>
    </row>
    <row r="176" spans="1:39" x14ac:dyDescent="0.25">
      <c r="A176" s="2">
        <v>183</v>
      </c>
      <c r="B176" s="2" t="s">
        <v>40</v>
      </c>
      <c r="C176" s="2"/>
      <c r="D176" s="2"/>
      <c r="E176" s="2"/>
      <c r="F176" s="2"/>
      <c r="G176" s="2"/>
      <c r="H176" s="2"/>
      <c r="I176" s="2"/>
      <c r="J176" s="2"/>
      <c r="K176" s="451"/>
      <c r="L176" s="451"/>
      <c r="M176" s="451"/>
      <c r="N176" s="451"/>
      <c r="O176" s="451"/>
      <c r="P176" s="177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 t="str">
        <f t="shared" si="2"/>
        <v>NCL</v>
      </c>
    </row>
    <row r="177" spans="1:39" x14ac:dyDescent="0.25">
      <c r="A177">
        <v>184</v>
      </c>
      <c r="B177" t="s">
        <v>41</v>
      </c>
      <c r="P177" s="176"/>
      <c r="AM177" t="str">
        <f t="shared" si="2"/>
        <v>CL</v>
      </c>
    </row>
    <row r="178" spans="1:39" x14ac:dyDescent="0.25">
      <c r="A178">
        <v>185</v>
      </c>
      <c r="B178" t="s">
        <v>42</v>
      </c>
      <c r="P178" s="176"/>
      <c r="AM178" t="str">
        <f t="shared" si="2"/>
        <v>ACL</v>
      </c>
    </row>
    <row r="179" spans="1:39" x14ac:dyDescent="0.25">
      <c r="A179">
        <v>186</v>
      </c>
      <c r="B179" t="s">
        <v>43</v>
      </c>
      <c r="P179" s="176"/>
      <c r="AM179" t="str">
        <f t="shared" si="2"/>
        <v>SPCL</v>
      </c>
    </row>
    <row r="180" spans="1:39" x14ac:dyDescent="0.25">
      <c r="A180">
        <v>187</v>
      </c>
      <c r="B180" s="1" t="s">
        <v>44</v>
      </c>
      <c r="C180" s="1"/>
      <c r="D180" s="1"/>
      <c r="E180" s="1"/>
      <c r="F180" s="1"/>
      <c r="G180" s="1"/>
      <c r="H180" s="1"/>
      <c r="I180" s="1"/>
      <c r="J180" s="1"/>
      <c r="K180" s="452"/>
      <c r="L180" s="452"/>
      <c r="M180" s="452"/>
      <c r="N180" s="452"/>
      <c r="O180" s="452"/>
      <c r="P180" s="178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 t="str">
        <f t="shared" si="2"/>
        <v>SPACL</v>
      </c>
    </row>
    <row r="181" spans="1:39" x14ac:dyDescent="0.25">
      <c r="A181" s="2">
        <v>188</v>
      </c>
      <c r="B181" s="2" t="s">
        <v>40</v>
      </c>
      <c r="C181" s="2"/>
      <c r="D181" s="2"/>
      <c r="E181" s="2"/>
      <c r="F181" s="2"/>
      <c r="G181" s="2"/>
      <c r="H181" s="2"/>
      <c r="I181" s="2"/>
      <c r="J181" s="2"/>
      <c r="K181" s="451"/>
      <c r="L181" s="451"/>
      <c r="M181" s="451"/>
      <c r="N181" s="451"/>
      <c r="O181" s="451"/>
      <c r="P181" s="177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 t="str">
        <f t="shared" si="2"/>
        <v>NCL</v>
      </c>
    </row>
    <row r="182" spans="1:39" x14ac:dyDescent="0.25">
      <c r="A182">
        <v>189</v>
      </c>
      <c r="B182" t="s">
        <v>41</v>
      </c>
      <c r="P182" s="176"/>
      <c r="AM182" t="str">
        <f t="shared" si="2"/>
        <v>CL</v>
      </c>
    </row>
    <row r="183" spans="1:39" x14ac:dyDescent="0.25">
      <c r="A183">
        <v>190</v>
      </c>
      <c r="B183" t="s">
        <v>42</v>
      </c>
      <c r="P183" s="176"/>
      <c r="AM183" t="str">
        <f t="shared" si="2"/>
        <v>ACL</v>
      </c>
    </row>
    <row r="184" spans="1:39" x14ac:dyDescent="0.25">
      <c r="A184">
        <v>191</v>
      </c>
      <c r="B184" t="s">
        <v>43</v>
      </c>
      <c r="P184" s="176"/>
      <c r="AM184" t="str">
        <f t="shared" si="2"/>
        <v>SPCL</v>
      </c>
    </row>
    <row r="185" spans="1:39" x14ac:dyDescent="0.25">
      <c r="A185">
        <v>192</v>
      </c>
      <c r="B185" s="1" t="s">
        <v>44</v>
      </c>
      <c r="C185" s="1"/>
      <c r="D185" s="1"/>
      <c r="E185" s="1"/>
      <c r="F185" s="1"/>
      <c r="G185" s="1"/>
      <c r="H185" s="1"/>
      <c r="I185" s="1"/>
      <c r="J185" s="1"/>
      <c r="K185" s="452"/>
      <c r="L185" s="452"/>
      <c r="M185" s="452"/>
      <c r="N185" s="452"/>
      <c r="O185" s="452"/>
      <c r="P185" s="178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 t="str">
        <f t="shared" si="2"/>
        <v>SPACL</v>
      </c>
    </row>
    <row r="186" spans="1:39" x14ac:dyDescent="0.25">
      <c r="A186" s="2">
        <v>193</v>
      </c>
      <c r="B186" s="2" t="s">
        <v>40</v>
      </c>
      <c r="C186" s="2"/>
      <c r="D186" s="2"/>
      <c r="E186" s="2"/>
      <c r="F186" s="2"/>
      <c r="G186" s="2"/>
      <c r="H186" s="2"/>
      <c r="I186" s="2"/>
      <c r="J186" s="2"/>
      <c r="K186" s="451"/>
      <c r="L186" s="451"/>
      <c r="M186" s="451"/>
      <c r="N186" s="451"/>
      <c r="O186" s="451"/>
      <c r="P186" s="177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 t="str">
        <f t="shared" ref="AM186:AM249" si="3">_xlfn.CONCAT(B186,AL186)</f>
        <v>NCL</v>
      </c>
    </row>
    <row r="187" spans="1:39" x14ac:dyDescent="0.25">
      <c r="A187">
        <v>194</v>
      </c>
      <c r="B187" t="s">
        <v>41</v>
      </c>
      <c r="P187" s="176"/>
      <c r="AM187" t="str">
        <f t="shared" si="3"/>
        <v>CL</v>
      </c>
    </row>
    <row r="188" spans="1:39" x14ac:dyDescent="0.25">
      <c r="A188">
        <v>195</v>
      </c>
      <c r="B188" t="s">
        <v>42</v>
      </c>
      <c r="P188" s="176"/>
      <c r="AM188" t="str">
        <f t="shared" si="3"/>
        <v>ACL</v>
      </c>
    </row>
    <row r="189" spans="1:39" x14ac:dyDescent="0.25">
      <c r="A189">
        <v>196</v>
      </c>
      <c r="B189" t="s">
        <v>43</v>
      </c>
      <c r="P189" s="176"/>
      <c r="AM189" t="str">
        <f t="shared" si="3"/>
        <v>SPCL</v>
      </c>
    </row>
    <row r="190" spans="1:39" x14ac:dyDescent="0.25">
      <c r="A190">
        <v>197</v>
      </c>
      <c r="B190" s="1" t="s">
        <v>44</v>
      </c>
      <c r="C190" s="1"/>
      <c r="D190" s="1"/>
      <c r="E190" s="1"/>
      <c r="F190" s="1"/>
      <c r="G190" s="1"/>
      <c r="H190" s="1"/>
      <c r="I190" s="1"/>
      <c r="J190" s="1"/>
      <c r="K190" s="452"/>
      <c r="L190" s="452"/>
      <c r="M190" s="452"/>
      <c r="N190" s="452"/>
      <c r="O190" s="452"/>
      <c r="P190" s="178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 t="str">
        <f t="shared" si="3"/>
        <v>SPACL</v>
      </c>
    </row>
    <row r="191" spans="1:39" x14ac:dyDescent="0.25">
      <c r="A191" s="2">
        <v>198</v>
      </c>
      <c r="B191" s="2" t="s">
        <v>40</v>
      </c>
      <c r="C191" s="2"/>
      <c r="D191" s="2"/>
      <c r="E191" s="2"/>
      <c r="F191" s="2"/>
      <c r="G191" s="2"/>
      <c r="H191" s="2"/>
      <c r="I191" s="2"/>
      <c r="J191" s="2"/>
      <c r="K191" s="451"/>
      <c r="L191" s="451"/>
      <c r="M191" s="451"/>
      <c r="N191" s="451"/>
      <c r="O191" s="451"/>
      <c r="P191" s="177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 t="str">
        <f t="shared" si="3"/>
        <v>NCL</v>
      </c>
    </row>
    <row r="192" spans="1:39" x14ac:dyDescent="0.25">
      <c r="A192">
        <v>199</v>
      </c>
      <c r="B192" t="s">
        <v>41</v>
      </c>
      <c r="P192" s="176"/>
      <c r="AM192" t="str">
        <f t="shared" si="3"/>
        <v>CL</v>
      </c>
    </row>
    <row r="193" spans="1:39" x14ac:dyDescent="0.25">
      <c r="A193">
        <v>200</v>
      </c>
      <c r="B193" t="s">
        <v>42</v>
      </c>
      <c r="P193" s="176"/>
      <c r="AM193" t="str">
        <f t="shared" si="3"/>
        <v>ACL</v>
      </c>
    </row>
    <row r="194" spans="1:39" x14ac:dyDescent="0.25">
      <c r="A194">
        <v>201</v>
      </c>
      <c r="B194" t="s">
        <v>43</v>
      </c>
      <c r="P194" s="176"/>
      <c r="AM194" t="str">
        <f t="shared" si="3"/>
        <v>SPCL</v>
      </c>
    </row>
    <row r="195" spans="1:39" x14ac:dyDescent="0.25">
      <c r="A195">
        <v>202</v>
      </c>
      <c r="B195" s="1" t="s">
        <v>44</v>
      </c>
      <c r="C195" s="1"/>
      <c r="D195" s="1"/>
      <c r="E195" s="1"/>
      <c r="F195" s="1"/>
      <c r="G195" s="1"/>
      <c r="H195" s="1"/>
      <c r="I195" s="1"/>
      <c r="J195" s="1"/>
      <c r="K195" s="452"/>
      <c r="L195" s="452"/>
      <c r="M195" s="452"/>
      <c r="N195" s="452"/>
      <c r="O195" s="452"/>
      <c r="P195" s="178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 t="str">
        <f t="shared" si="3"/>
        <v>SPACL</v>
      </c>
    </row>
    <row r="196" spans="1:39" x14ac:dyDescent="0.25">
      <c r="A196" s="2">
        <v>203</v>
      </c>
      <c r="B196" s="2" t="s">
        <v>40</v>
      </c>
      <c r="C196" s="2"/>
      <c r="D196" s="2"/>
      <c r="E196" s="2"/>
      <c r="F196" s="2"/>
      <c r="G196" s="2"/>
      <c r="H196" s="2"/>
      <c r="I196" s="2"/>
      <c r="J196" s="2"/>
      <c r="K196" s="451"/>
      <c r="L196" s="451"/>
      <c r="M196" s="451"/>
      <c r="N196" s="451"/>
      <c r="O196" s="451"/>
      <c r="P196" s="177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 t="str">
        <f t="shared" si="3"/>
        <v>NCL</v>
      </c>
    </row>
    <row r="197" spans="1:39" x14ac:dyDescent="0.25">
      <c r="A197">
        <v>204</v>
      </c>
      <c r="B197" t="s">
        <v>41</v>
      </c>
      <c r="P197" s="176"/>
      <c r="AM197" t="str">
        <f t="shared" si="3"/>
        <v>CL</v>
      </c>
    </row>
    <row r="198" spans="1:39" x14ac:dyDescent="0.25">
      <c r="A198">
        <v>205</v>
      </c>
      <c r="B198" t="s">
        <v>42</v>
      </c>
      <c r="P198" s="176"/>
      <c r="AM198" t="str">
        <f t="shared" si="3"/>
        <v>ACL</v>
      </c>
    </row>
    <row r="199" spans="1:39" x14ac:dyDescent="0.25">
      <c r="A199">
        <v>206</v>
      </c>
      <c r="B199" t="s">
        <v>43</v>
      </c>
      <c r="P199" s="176"/>
      <c r="AM199" t="str">
        <f t="shared" si="3"/>
        <v>SPCL</v>
      </c>
    </row>
    <row r="200" spans="1:39" x14ac:dyDescent="0.25">
      <c r="A200">
        <v>207</v>
      </c>
      <c r="B200" s="1" t="s">
        <v>44</v>
      </c>
      <c r="C200" s="1"/>
      <c r="D200" s="1"/>
      <c r="E200" s="1"/>
      <c r="F200" s="1"/>
      <c r="G200" s="1"/>
      <c r="H200" s="1"/>
      <c r="I200" s="1"/>
      <c r="J200" s="1"/>
      <c r="K200" s="452"/>
      <c r="L200" s="452"/>
      <c r="M200" s="452"/>
      <c r="N200" s="452"/>
      <c r="O200" s="452"/>
      <c r="P200" s="178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 t="str">
        <f t="shared" si="3"/>
        <v>SPACL</v>
      </c>
    </row>
    <row r="201" spans="1:39" x14ac:dyDescent="0.25">
      <c r="A201" s="2">
        <v>208</v>
      </c>
      <c r="B201" s="2" t="s">
        <v>40</v>
      </c>
      <c r="C201" s="2"/>
      <c r="D201" s="2"/>
      <c r="E201" s="2"/>
      <c r="F201" s="2"/>
      <c r="G201" s="2"/>
      <c r="H201" s="2"/>
      <c r="I201" s="2"/>
      <c r="J201" s="2"/>
      <c r="K201" s="451"/>
      <c r="L201" s="451"/>
      <c r="M201" s="451"/>
      <c r="N201" s="451"/>
      <c r="O201" s="451"/>
      <c r="P201" s="177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 t="str">
        <f t="shared" si="3"/>
        <v>NCL</v>
      </c>
    </row>
    <row r="202" spans="1:39" x14ac:dyDescent="0.25">
      <c r="A202">
        <v>209</v>
      </c>
      <c r="B202" t="s">
        <v>41</v>
      </c>
      <c r="P202" s="176"/>
      <c r="AM202" t="str">
        <f t="shared" si="3"/>
        <v>CL</v>
      </c>
    </row>
    <row r="203" spans="1:39" x14ac:dyDescent="0.25">
      <c r="A203">
        <v>210</v>
      </c>
      <c r="B203" t="s">
        <v>42</v>
      </c>
      <c r="P203" s="176"/>
      <c r="AM203" t="str">
        <f t="shared" si="3"/>
        <v>ACL</v>
      </c>
    </row>
    <row r="204" spans="1:39" x14ac:dyDescent="0.25">
      <c r="A204">
        <v>211</v>
      </c>
      <c r="B204" t="s">
        <v>43</v>
      </c>
      <c r="P204" s="176"/>
      <c r="AM204" t="str">
        <f t="shared" si="3"/>
        <v>SPCL</v>
      </c>
    </row>
    <row r="205" spans="1:39" x14ac:dyDescent="0.25">
      <c r="A205">
        <v>212</v>
      </c>
      <c r="B205" s="1" t="s">
        <v>44</v>
      </c>
      <c r="C205" s="1"/>
      <c r="D205" s="1"/>
      <c r="E205" s="1"/>
      <c r="F205" s="1"/>
      <c r="G205" s="1"/>
      <c r="H205" s="1"/>
      <c r="I205" s="1"/>
      <c r="J205" s="1"/>
      <c r="K205" s="452"/>
      <c r="L205" s="452"/>
      <c r="M205" s="452"/>
      <c r="N205" s="452"/>
      <c r="O205" s="452"/>
      <c r="P205" s="178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 t="str">
        <f t="shared" si="3"/>
        <v>SPACL</v>
      </c>
    </row>
    <row r="206" spans="1:39" x14ac:dyDescent="0.25">
      <c r="A206" s="2">
        <v>213</v>
      </c>
      <c r="B206" s="2" t="s">
        <v>40</v>
      </c>
      <c r="C206" s="2"/>
      <c r="D206" s="2"/>
      <c r="E206" s="2"/>
      <c r="F206" s="2"/>
      <c r="G206" s="2"/>
      <c r="H206" s="2"/>
      <c r="I206" s="2"/>
      <c r="J206" s="2"/>
      <c r="K206" s="451"/>
      <c r="L206" s="451"/>
      <c r="M206" s="451"/>
      <c r="N206" s="451"/>
      <c r="O206" s="451"/>
      <c r="P206" s="177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 t="str">
        <f t="shared" si="3"/>
        <v>NCL</v>
      </c>
    </row>
    <row r="207" spans="1:39" x14ac:dyDescent="0.25">
      <c r="A207">
        <v>214</v>
      </c>
      <c r="B207" t="s">
        <v>41</v>
      </c>
      <c r="P207" s="176"/>
      <c r="AM207" t="str">
        <f t="shared" si="3"/>
        <v>CL</v>
      </c>
    </row>
    <row r="208" spans="1:39" x14ac:dyDescent="0.25">
      <c r="A208">
        <v>215</v>
      </c>
      <c r="B208" t="s">
        <v>42</v>
      </c>
      <c r="P208" s="176"/>
      <c r="AM208" t="str">
        <f t="shared" si="3"/>
        <v>ACL</v>
      </c>
    </row>
    <row r="209" spans="1:39" x14ac:dyDescent="0.25">
      <c r="A209">
        <v>216</v>
      </c>
      <c r="B209" t="s">
        <v>43</v>
      </c>
      <c r="P209" s="176"/>
      <c r="AM209" t="str">
        <f t="shared" si="3"/>
        <v>SPCL</v>
      </c>
    </row>
    <row r="210" spans="1:39" x14ac:dyDescent="0.25">
      <c r="A210">
        <v>217</v>
      </c>
      <c r="B210" s="1" t="s">
        <v>44</v>
      </c>
      <c r="C210" s="1"/>
      <c r="D210" s="1"/>
      <c r="E210" s="1"/>
      <c r="F210" s="1"/>
      <c r="G210" s="1"/>
      <c r="H210" s="1"/>
      <c r="I210" s="1"/>
      <c r="J210" s="1"/>
      <c r="K210" s="452"/>
      <c r="L210" s="452"/>
      <c r="M210" s="452"/>
      <c r="N210" s="452"/>
      <c r="O210" s="452"/>
      <c r="P210" s="178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 t="str">
        <f t="shared" si="3"/>
        <v>SPACL</v>
      </c>
    </row>
    <row r="211" spans="1:39" x14ac:dyDescent="0.25">
      <c r="A211" s="2">
        <v>218</v>
      </c>
      <c r="B211" s="2" t="s">
        <v>40</v>
      </c>
      <c r="C211" s="2"/>
      <c r="D211" s="2"/>
      <c r="E211" s="2"/>
      <c r="F211" s="2"/>
      <c r="G211" s="2"/>
      <c r="H211" s="2"/>
      <c r="I211" s="2"/>
      <c r="J211" s="2"/>
      <c r="K211" s="451"/>
      <c r="L211" s="451"/>
      <c r="M211" s="451"/>
      <c r="N211" s="451"/>
      <c r="O211" s="451"/>
      <c r="P211" s="177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 t="str">
        <f t="shared" si="3"/>
        <v>NCL</v>
      </c>
    </row>
    <row r="212" spans="1:39" x14ac:dyDescent="0.25">
      <c r="A212">
        <v>219</v>
      </c>
      <c r="B212" t="s">
        <v>41</v>
      </c>
      <c r="P212" s="176"/>
      <c r="AM212" t="str">
        <f t="shared" si="3"/>
        <v>CL</v>
      </c>
    </row>
    <row r="213" spans="1:39" x14ac:dyDescent="0.25">
      <c r="A213">
        <v>220</v>
      </c>
      <c r="B213" t="s">
        <v>42</v>
      </c>
      <c r="P213" s="176"/>
      <c r="AM213" t="str">
        <f t="shared" si="3"/>
        <v>ACL</v>
      </c>
    </row>
    <row r="214" spans="1:39" x14ac:dyDescent="0.25">
      <c r="A214">
        <v>221</v>
      </c>
      <c r="B214" t="s">
        <v>43</v>
      </c>
      <c r="P214" s="176"/>
      <c r="AM214" t="str">
        <f t="shared" si="3"/>
        <v>SPCL</v>
      </c>
    </row>
    <row r="215" spans="1:39" x14ac:dyDescent="0.25">
      <c r="A215">
        <v>222</v>
      </c>
      <c r="B215" s="1" t="s">
        <v>44</v>
      </c>
      <c r="C215" s="1"/>
      <c r="D215" s="1"/>
      <c r="E215" s="1"/>
      <c r="F215" s="1"/>
      <c r="G215" s="1"/>
      <c r="H215" s="1"/>
      <c r="I215" s="1"/>
      <c r="J215" s="1"/>
      <c r="K215" s="452"/>
      <c r="L215" s="452"/>
      <c r="M215" s="452"/>
      <c r="N215" s="452"/>
      <c r="O215" s="452"/>
      <c r="P215" s="178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 t="str">
        <f t="shared" si="3"/>
        <v>SPACL</v>
      </c>
    </row>
    <row r="216" spans="1:39" x14ac:dyDescent="0.25">
      <c r="A216" s="2">
        <v>223</v>
      </c>
      <c r="B216" s="2" t="s">
        <v>40</v>
      </c>
      <c r="C216" s="2"/>
      <c r="D216" s="2"/>
      <c r="E216" s="2"/>
      <c r="F216" s="2"/>
      <c r="G216" s="2"/>
      <c r="H216" s="2"/>
      <c r="I216" s="2"/>
      <c r="J216" s="2"/>
      <c r="K216" s="451"/>
      <c r="L216" s="451"/>
      <c r="M216" s="451"/>
      <c r="N216" s="451"/>
      <c r="O216" s="451"/>
      <c r="P216" s="177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 t="str">
        <f t="shared" si="3"/>
        <v>NCL</v>
      </c>
    </row>
    <row r="217" spans="1:39" x14ac:dyDescent="0.25">
      <c r="A217">
        <v>224</v>
      </c>
      <c r="B217" t="s">
        <v>41</v>
      </c>
      <c r="P217" s="176"/>
      <c r="AM217" t="str">
        <f t="shared" si="3"/>
        <v>CL</v>
      </c>
    </row>
    <row r="218" spans="1:39" x14ac:dyDescent="0.25">
      <c r="A218">
        <v>225</v>
      </c>
      <c r="B218" t="s">
        <v>42</v>
      </c>
      <c r="P218" s="176"/>
      <c r="AM218" t="str">
        <f t="shared" si="3"/>
        <v>ACL</v>
      </c>
    </row>
    <row r="219" spans="1:39" x14ac:dyDescent="0.25">
      <c r="A219">
        <v>226</v>
      </c>
      <c r="B219" t="s">
        <v>43</v>
      </c>
      <c r="P219" s="176"/>
      <c r="AM219" t="str">
        <f t="shared" si="3"/>
        <v>SPCL</v>
      </c>
    </row>
    <row r="220" spans="1:39" x14ac:dyDescent="0.25">
      <c r="A220">
        <v>227</v>
      </c>
      <c r="B220" s="1" t="s">
        <v>44</v>
      </c>
      <c r="C220" s="1"/>
      <c r="D220" s="1"/>
      <c r="E220" s="1"/>
      <c r="F220" s="1"/>
      <c r="G220" s="1"/>
      <c r="H220" s="1"/>
      <c r="I220" s="1"/>
      <c r="J220" s="1"/>
      <c r="K220" s="452"/>
      <c r="L220" s="452"/>
      <c r="M220" s="452"/>
      <c r="N220" s="452"/>
      <c r="O220" s="452"/>
      <c r="P220" s="178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 t="str">
        <f t="shared" si="3"/>
        <v>SPACL</v>
      </c>
    </row>
    <row r="221" spans="1:39" x14ac:dyDescent="0.25">
      <c r="A221" s="2">
        <v>228</v>
      </c>
      <c r="B221" s="2" t="s">
        <v>40</v>
      </c>
      <c r="C221" s="2"/>
      <c r="D221" s="2"/>
      <c r="E221" s="2"/>
      <c r="F221" s="2"/>
      <c r="G221" s="2"/>
      <c r="H221" s="2"/>
      <c r="I221" s="2"/>
      <c r="J221" s="2"/>
      <c r="K221" s="451"/>
      <c r="L221" s="451"/>
      <c r="M221" s="451"/>
      <c r="N221" s="451"/>
      <c r="O221" s="451"/>
      <c r="P221" s="177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 t="str">
        <f t="shared" si="3"/>
        <v>NCL</v>
      </c>
    </row>
    <row r="222" spans="1:39" x14ac:dyDescent="0.25">
      <c r="A222">
        <v>229</v>
      </c>
      <c r="B222" t="s">
        <v>41</v>
      </c>
      <c r="P222" s="176"/>
      <c r="AM222" t="str">
        <f t="shared" si="3"/>
        <v>CL</v>
      </c>
    </row>
    <row r="223" spans="1:39" x14ac:dyDescent="0.25">
      <c r="A223">
        <v>230</v>
      </c>
      <c r="B223" t="s">
        <v>42</v>
      </c>
      <c r="P223" s="176"/>
      <c r="AM223" t="str">
        <f t="shared" si="3"/>
        <v>ACL</v>
      </c>
    </row>
    <row r="224" spans="1:39" x14ac:dyDescent="0.25">
      <c r="A224">
        <v>231</v>
      </c>
      <c r="B224" t="s">
        <v>43</v>
      </c>
      <c r="P224" s="176"/>
      <c r="AM224" t="str">
        <f t="shared" si="3"/>
        <v>SPCL</v>
      </c>
    </row>
    <row r="225" spans="1:39" x14ac:dyDescent="0.25">
      <c r="A225">
        <v>232</v>
      </c>
      <c r="B225" s="1" t="s">
        <v>44</v>
      </c>
      <c r="C225" s="1"/>
      <c r="D225" s="1"/>
      <c r="E225" s="1"/>
      <c r="F225" s="1"/>
      <c r="G225" s="1"/>
      <c r="H225" s="1"/>
      <c r="I225" s="1"/>
      <c r="J225" s="1"/>
      <c r="K225" s="452"/>
      <c r="L225" s="452"/>
      <c r="M225" s="452"/>
      <c r="N225" s="452"/>
      <c r="O225" s="452"/>
      <c r="P225" s="178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 t="str">
        <f t="shared" si="3"/>
        <v>SPACL</v>
      </c>
    </row>
    <row r="226" spans="1:39" x14ac:dyDescent="0.25">
      <c r="A226" s="2">
        <v>233</v>
      </c>
      <c r="B226" s="2" t="s">
        <v>40</v>
      </c>
      <c r="C226" s="2"/>
      <c r="D226" s="2"/>
      <c r="E226" s="2"/>
      <c r="F226" s="2"/>
      <c r="G226" s="2"/>
      <c r="H226" s="2"/>
      <c r="I226" s="2"/>
      <c r="J226" s="2"/>
      <c r="K226" s="451"/>
      <c r="L226" s="451"/>
      <c r="M226" s="451"/>
      <c r="N226" s="451"/>
      <c r="O226" s="451"/>
      <c r="P226" s="177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 t="str">
        <f t="shared" si="3"/>
        <v>NCL</v>
      </c>
    </row>
    <row r="227" spans="1:39" x14ac:dyDescent="0.25">
      <c r="A227">
        <v>234</v>
      </c>
      <c r="B227" t="s">
        <v>41</v>
      </c>
      <c r="P227" s="176"/>
      <c r="AM227" t="str">
        <f t="shared" si="3"/>
        <v>CL</v>
      </c>
    </row>
    <row r="228" spans="1:39" x14ac:dyDescent="0.25">
      <c r="A228">
        <v>235</v>
      </c>
      <c r="B228" t="s">
        <v>42</v>
      </c>
      <c r="P228" s="176"/>
      <c r="AM228" t="str">
        <f t="shared" si="3"/>
        <v>ACL</v>
      </c>
    </row>
    <row r="229" spans="1:39" x14ac:dyDescent="0.25">
      <c r="A229">
        <v>236</v>
      </c>
      <c r="B229" t="s">
        <v>43</v>
      </c>
      <c r="P229" s="176"/>
      <c r="AM229" t="str">
        <f t="shared" si="3"/>
        <v>SPCL</v>
      </c>
    </row>
    <row r="230" spans="1:39" x14ac:dyDescent="0.25">
      <c r="A230">
        <v>237</v>
      </c>
      <c r="B230" s="1" t="s">
        <v>44</v>
      </c>
      <c r="C230" s="1"/>
      <c r="D230" s="1"/>
      <c r="E230" s="1"/>
      <c r="F230" s="1"/>
      <c r="G230" s="1"/>
      <c r="H230" s="1"/>
      <c r="I230" s="1"/>
      <c r="J230" s="1"/>
      <c r="K230" s="452"/>
      <c r="L230" s="452"/>
      <c r="M230" s="452"/>
      <c r="N230" s="452"/>
      <c r="O230" s="452"/>
      <c r="P230" s="178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 t="str">
        <f t="shared" si="3"/>
        <v>SPACL</v>
      </c>
    </row>
    <row r="231" spans="1:39" x14ac:dyDescent="0.25">
      <c r="A231" s="2">
        <v>238</v>
      </c>
      <c r="B231" s="2" t="s">
        <v>40</v>
      </c>
      <c r="C231" s="2"/>
      <c r="D231" s="2"/>
      <c r="E231" s="2"/>
      <c r="F231" s="2"/>
      <c r="G231" s="2"/>
      <c r="H231" s="2"/>
      <c r="I231" s="2"/>
      <c r="J231" s="2"/>
      <c r="K231" s="451"/>
      <c r="L231" s="451"/>
      <c r="M231" s="451"/>
      <c r="N231" s="451"/>
      <c r="O231" s="451"/>
      <c r="P231" s="177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 t="str">
        <f t="shared" si="3"/>
        <v>NCL</v>
      </c>
    </row>
    <row r="232" spans="1:39" x14ac:dyDescent="0.25">
      <c r="A232">
        <v>239</v>
      </c>
      <c r="B232" t="s">
        <v>41</v>
      </c>
      <c r="P232" s="176"/>
      <c r="AM232" t="str">
        <f t="shared" si="3"/>
        <v>CL</v>
      </c>
    </row>
    <row r="233" spans="1:39" x14ac:dyDescent="0.25">
      <c r="A233">
        <v>240</v>
      </c>
      <c r="B233" t="s">
        <v>42</v>
      </c>
      <c r="P233" s="176"/>
      <c r="AM233" t="str">
        <f t="shared" si="3"/>
        <v>ACL</v>
      </c>
    </row>
    <row r="234" spans="1:39" x14ac:dyDescent="0.25">
      <c r="A234">
        <v>241</v>
      </c>
      <c r="B234" t="s">
        <v>43</v>
      </c>
      <c r="P234" s="176"/>
      <c r="AM234" t="str">
        <f t="shared" si="3"/>
        <v>SPCL</v>
      </c>
    </row>
    <row r="235" spans="1:39" x14ac:dyDescent="0.25">
      <c r="A235">
        <v>242</v>
      </c>
      <c r="B235" s="1" t="s">
        <v>44</v>
      </c>
      <c r="C235" s="1"/>
      <c r="D235" s="1"/>
      <c r="E235" s="1"/>
      <c r="F235" s="1"/>
      <c r="G235" s="1"/>
      <c r="H235" s="1"/>
      <c r="I235" s="1"/>
      <c r="J235" s="1"/>
      <c r="K235" s="452"/>
      <c r="L235" s="452"/>
      <c r="M235" s="452"/>
      <c r="N235" s="452"/>
      <c r="O235" s="452"/>
      <c r="P235" s="178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 t="str">
        <f t="shared" si="3"/>
        <v>SPACL</v>
      </c>
    </row>
    <row r="236" spans="1:39" x14ac:dyDescent="0.25">
      <c r="A236" s="2">
        <v>243</v>
      </c>
      <c r="B236" s="2" t="s">
        <v>40</v>
      </c>
      <c r="C236" s="2"/>
      <c r="D236" s="2"/>
      <c r="E236" s="2"/>
      <c r="F236" s="2"/>
      <c r="G236" s="2"/>
      <c r="H236" s="2"/>
      <c r="I236" s="2"/>
      <c r="J236" s="2"/>
      <c r="K236" s="451"/>
      <c r="L236" s="451"/>
      <c r="M236" s="451"/>
      <c r="N236" s="451"/>
      <c r="O236" s="451"/>
      <c r="P236" s="177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 t="str">
        <f t="shared" si="3"/>
        <v>NCL</v>
      </c>
    </row>
    <row r="237" spans="1:39" x14ac:dyDescent="0.25">
      <c r="A237">
        <v>244</v>
      </c>
      <c r="B237" t="s">
        <v>41</v>
      </c>
      <c r="P237" s="176"/>
      <c r="AM237" t="str">
        <f t="shared" si="3"/>
        <v>CL</v>
      </c>
    </row>
    <row r="238" spans="1:39" x14ac:dyDescent="0.25">
      <c r="A238">
        <v>245</v>
      </c>
      <c r="B238" t="s">
        <v>42</v>
      </c>
      <c r="P238" s="176"/>
      <c r="AM238" t="str">
        <f t="shared" si="3"/>
        <v>ACL</v>
      </c>
    </row>
    <row r="239" spans="1:39" x14ac:dyDescent="0.25">
      <c r="A239">
        <v>246</v>
      </c>
      <c r="B239" t="s">
        <v>43</v>
      </c>
      <c r="P239" s="176"/>
      <c r="AM239" t="str">
        <f t="shared" si="3"/>
        <v>SPCL</v>
      </c>
    </row>
    <row r="240" spans="1:39" x14ac:dyDescent="0.25">
      <c r="A240">
        <v>247</v>
      </c>
      <c r="B240" s="1" t="s">
        <v>44</v>
      </c>
      <c r="C240" s="1"/>
      <c r="D240" s="1"/>
      <c r="E240" s="1"/>
      <c r="F240" s="1"/>
      <c r="G240" s="1"/>
      <c r="H240" s="1"/>
      <c r="I240" s="1"/>
      <c r="J240" s="1"/>
      <c r="K240" s="452"/>
      <c r="L240" s="452"/>
      <c r="M240" s="452"/>
      <c r="N240" s="452"/>
      <c r="O240" s="452"/>
      <c r="P240" s="178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 t="str">
        <f t="shared" si="3"/>
        <v>SPACL</v>
      </c>
    </row>
    <row r="241" spans="1:39" x14ac:dyDescent="0.25">
      <c r="A241" s="2">
        <v>248</v>
      </c>
      <c r="B241" s="2" t="s">
        <v>40</v>
      </c>
      <c r="C241" s="2"/>
      <c r="D241" s="2"/>
      <c r="E241" s="2"/>
      <c r="F241" s="2"/>
      <c r="G241" s="2"/>
      <c r="H241" s="2"/>
      <c r="I241" s="2"/>
      <c r="J241" s="2"/>
      <c r="K241" s="451"/>
      <c r="L241" s="451"/>
      <c r="M241" s="451"/>
      <c r="N241" s="451"/>
      <c r="O241" s="451"/>
      <c r="P241" s="177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 t="str">
        <f t="shared" si="3"/>
        <v>NCL</v>
      </c>
    </row>
    <row r="242" spans="1:39" x14ac:dyDescent="0.25">
      <c r="A242">
        <v>249</v>
      </c>
      <c r="B242" t="s">
        <v>41</v>
      </c>
      <c r="P242" s="176"/>
      <c r="AM242" t="str">
        <f t="shared" si="3"/>
        <v>CL</v>
      </c>
    </row>
    <row r="243" spans="1:39" x14ac:dyDescent="0.25">
      <c r="A243">
        <v>250</v>
      </c>
      <c r="B243" t="s">
        <v>42</v>
      </c>
      <c r="P243" s="176"/>
      <c r="AM243" t="str">
        <f t="shared" si="3"/>
        <v>ACL</v>
      </c>
    </row>
    <row r="244" spans="1:39" x14ac:dyDescent="0.25">
      <c r="A244">
        <v>251</v>
      </c>
      <c r="B244" t="s">
        <v>43</v>
      </c>
      <c r="P244" s="176"/>
      <c r="AM244" t="str">
        <f t="shared" si="3"/>
        <v>SPCL</v>
      </c>
    </row>
    <row r="245" spans="1:39" x14ac:dyDescent="0.25">
      <c r="A245">
        <v>252</v>
      </c>
      <c r="B245" s="1" t="s">
        <v>44</v>
      </c>
      <c r="C245" s="1"/>
      <c r="D245" s="1"/>
      <c r="E245" s="1"/>
      <c r="F245" s="1"/>
      <c r="G245" s="1"/>
      <c r="H245" s="1"/>
      <c r="I245" s="1"/>
      <c r="J245" s="1"/>
      <c r="K245" s="452"/>
      <c r="L245" s="452"/>
      <c r="M245" s="452"/>
      <c r="N245" s="452"/>
      <c r="O245" s="452"/>
      <c r="P245" s="178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 t="str">
        <f t="shared" si="3"/>
        <v>SPACL</v>
      </c>
    </row>
    <row r="246" spans="1:39" x14ac:dyDescent="0.25">
      <c r="A246" s="2">
        <v>253</v>
      </c>
      <c r="B246" s="2" t="s">
        <v>40</v>
      </c>
      <c r="C246" s="2"/>
      <c r="D246" s="2"/>
      <c r="E246" s="2"/>
      <c r="F246" s="2"/>
      <c r="G246" s="2"/>
      <c r="H246" s="2"/>
      <c r="I246" s="2"/>
      <c r="J246" s="2"/>
      <c r="K246" s="451"/>
      <c r="L246" s="451"/>
      <c r="M246" s="451"/>
      <c r="N246" s="451"/>
      <c r="O246" s="451"/>
      <c r="P246" s="177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 t="str">
        <f t="shared" si="3"/>
        <v>NCL</v>
      </c>
    </row>
    <row r="247" spans="1:39" x14ac:dyDescent="0.25">
      <c r="A247">
        <v>254</v>
      </c>
      <c r="B247" t="s">
        <v>41</v>
      </c>
      <c r="P247" s="176"/>
      <c r="AM247" t="str">
        <f t="shared" si="3"/>
        <v>CL</v>
      </c>
    </row>
    <row r="248" spans="1:39" x14ac:dyDescent="0.25">
      <c r="A248">
        <v>255</v>
      </c>
      <c r="B248" t="s">
        <v>42</v>
      </c>
      <c r="P248" s="176"/>
      <c r="AM248" t="str">
        <f t="shared" si="3"/>
        <v>ACL</v>
      </c>
    </row>
    <row r="249" spans="1:39" x14ac:dyDescent="0.25">
      <c r="A249">
        <v>256</v>
      </c>
      <c r="B249" t="s">
        <v>43</v>
      </c>
      <c r="P249" s="176"/>
      <c r="AM249" t="str">
        <f t="shared" si="3"/>
        <v>SPCL</v>
      </c>
    </row>
    <row r="250" spans="1:39" x14ac:dyDescent="0.25">
      <c r="A250">
        <v>257</v>
      </c>
      <c r="B250" s="1" t="s">
        <v>44</v>
      </c>
      <c r="C250" s="1"/>
      <c r="D250" s="1"/>
      <c r="E250" s="1"/>
      <c r="F250" s="1"/>
      <c r="G250" s="1"/>
      <c r="H250" s="1"/>
      <c r="I250" s="1"/>
      <c r="J250" s="1"/>
      <c r="K250" s="452"/>
      <c r="L250" s="452"/>
      <c r="M250" s="452"/>
      <c r="N250" s="452"/>
      <c r="O250" s="452"/>
      <c r="P250" s="178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 t="str">
        <f t="shared" ref="AM250:AM313" si="4">_xlfn.CONCAT(B250,AL250)</f>
        <v>SPACL</v>
      </c>
    </row>
    <row r="251" spans="1:39" x14ac:dyDescent="0.25">
      <c r="A251" s="2">
        <v>258</v>
      </c>
      <c r="B251" s="2" t="s">
        <v>40</v>
      </c>
      <c r="C251" s="2"/>
      <c r="D251" s="2"/>
      <c r="E251" s="2"/>
      <c r="F251" s="2"/>
      <c r="G251" s="2"/>
      <c r="H251" s="2"/>
      <c r="I251" s="2"/>
      <c r="J251" s="2"/>
      <c r="K251" s="451"/>
      <c r="L251" s="451"/>
      <c r="M251" s="451"/>
      <c r="N251" s="451"/>
      <c r="O251" s="451"/>
      <c r="P251" s="177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 t="str">
        <f t="shared" si="4"/>
        <v>NCL</v>
      </c>
    </row>
    <row r="252" spans="1:39" x14ac:dyDescent="0.25">
      <c r="A252">
        <v>259</v>
      </c>
      <c r="B252" t="s">
        <v>41</v>
      </c>
      <c r="P252" s="176"/>
      <c r="AM252" t="str">
        <f t="shared" si="4"/>
        <v>CL</v>
      </c>
    </row>
    <row r="253" spans="1:39" x14ac:dyDescent="0.25">
      <c r="A253">
        <v>260</v>
      </c>
      <c r="B253" t="s">
        <v>42</v>
      </c>
      <c r="P253" s="176"/>
      <c r="AM253" t="str">
        <f t="shared" si="4"/>
        <v>ACL</v>
      </c>
    </row>
    <row r="254" spans="1:39" x14ac:dyDescent="0.25">
      <c r="A254">
        <v>261</v>
      </c>
      <c r="B254" t="s">
        <v>43</v>
      </c>
      <c r="P254" s="176"/>
      <c r="AM254" t="str">
        <f t="shared" si="4"/>
        <v>SPCL</v>
      </c>
    </row>
    <row r="255" spans="1:39" x14ac:dyDescent="0.25">
      <c r="A255">
        <v>262</v>
      </c>
      <c r="B255" s="1" t="s">
        <v>44</v>
      </c>
      <c r="C255" s="1"/>
      <c r="D255" s="1"/>
      <c r="E255" s="1"/>
      <c r="F255" s="1"/>
      <c r="G255" s="1"/>
      <c r="H255" s="1"/>
      <c r="I255" s="1"/>
      <c r="J255" s="1"/>
      <c r="K255" s="452"/>
      <c r="L255" s="452"/>
      <c r="M255" s="452"/>
      <c r="N255" s="452"/>
      <c r="O255" s="452"/>
      <c r="P255" s="178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 t="str">
        <f t="shared" si="4"/>
        <v>SPACL</v>
      </c>
    </row>
    <row r="256" spans="1:39" x14ac:dyDescent="0.25">
      <c r="A256" s="2">
        <v>263</v>
      </c>
      <c r="B256" s="2" t="s">
        <v>40</v>
      </c>
      <c r="C256" s="2"/>
      <c r="D256" s="2"/>
      <c r="E256" s="2"/>
      <c r="F256" s="2"/>
      <c r="G256" s="2"/>
      <c r="H256" s="2"/>
      <c r="I256" s="2"/>
      <c r="J256" s="2"/>
      <c r="K256" s="451"/>
      <c r="L256" s="451"/>
      <c r="M256" s="451"/>
      <c r="N256" s="451"/>
      <c r="O256" s="451"/>
      <c r="P256" s="177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 t="str">
        <f t="shared" si="4"/>
        <v>NCL</v>
      </c>
    </row>
    <row r="257" spans="1:39" x14ac:dyDescent="0.25">
      <c r="A257">
        <v>264</v>
      </c>
      <c r="B257" t="s">
        <v>41</v>
      </c>
      <c r="P257" s="176"/>
      <c r="AM257" t="str">
        <f t="shared" si="4"/>
        <v>CL</v>
      </c>
    </row>
    <row r="258" spans="1:39" x14ac:dyDescent="0.25">
      <c r="A258">
        <v>265</v>
      </c>
      <c r="B258" t="s">
        <v>42</v>
      </c>
      <c r="P258" s="176"/>
      <c r="AM258" t="str">
        <f t="shared" si="4"/>
        <v>ACL</v>
      </c>
    </row>
    <row r="259" spans="1:39" x14ac:dyDescent="0.25">
      <c r="A259">
        <v>266</v>
      </c>
      <c r="B259" t="s">
        <v>43</v>
      </c>
      <c r="P259" s="176"/>
      <c r="AM259" t="str">
        <f t="shared" si="4"/>
        <v>SPCL</v>
      </c>
    </row>
    <row r="260" spans="1:39" x14ac:dyDescent="0.25">
      <c r="A260">
        <v>267</v>
      </c>
      <c r="B260" s="1" t="s">
        <v>44</v>
      </c>
      <c r="C260" s="1"/>
      <c r="D260" s="1"/>
      <c r="E260" s="1"/>
      <c r="F260" s="1"/>
      <c r="G260" s="1"/>
      <c r="H260" s="1"/>
      <c r="I260" s="1"/>
      <c r="J260" s="1"/>
      <c r="K260" s="452"/>
      <c r="L260" s="452"/>
      <c r="M260" s="452"/>
      <c r="N260" s="452"/>
      <c r="O260" s="452"/>
      <c r="P260" s="178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 t="str">
        <f t="shared" si="4"/>
        <v>SPACL</v>
      </c>
    </row>
    <row r="261" spans="1:39" x14ac:dyDescent="0.25">
      <c r="A261" s="2">
        <v>268</v>
      </c>
      <c r="B261" s="2" t="s">
        <v>40</v>
      </c>
      <c r="C261" s="2"/>
      <c r="D261" s="2"/>
      <c r="E261" s="2"/>
      <c r="F261" s="2"/>
      <c r="G261" s="2"/>
      <c r="H261" s="2"/>
      <c r="I261" s="2"/>
      <c r="J261" s="2"/>
      <c r="K261" s="451"/>
      <c r="L261" s="451"/>
      <c r="M261" s="451"/>
      <c r="N261" s="451"/>
      <c r="O261" s="451"/>
      <c r="P261" s="177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 t="str">
        <f t="shared" si="4"/>
        <v>NCL</v>
      </c>
    </row>
    <row r="262" spans="1:39" x14ac:dyDescent="0.25">
      <c r="A262">
        <v>269</v>
      </c>
      <c r="B262" t="s">
        <v>41</v>
      </c>
      <c r="P262" s="176"/>
      <c r="AM262" t="str">
        <f t="shared" si="4"/>
        <v>CL</v>
      </c>
    </row>
    <row r="263" spans="1:39" x14ac:dyDescent="0.25">
      <c r="A263">
        <v>270</v>
      </c>
      <c r="B263" t="s">
        <v>42</v>
      </c>
      <c r="P263" s="176"/>
      <c r="AM263" t="str">
        <f t="shared" si="4"/>
        <v>ACL</v>
      </c>
    </row>
    <row r="264" spans="1:39" x14ac:dyDescent="0.25">
      <c r="A264">
        <v>271</v>
      </c>
      <c r="B264" t="s">
        <v>43</v>
      </c>
      <c r="P264" s="176"/>
      <c r="AM264" t="str">
        <f t="shared" si="4"/>
        <v>SPCL</v>
      </c>
    </row>
    <row r="265" spans="1:39" x14ac:dyDescent="0.25">
      <c r="A265">
        <v>272</v>
      </c>
      <c r="B265" s="1" t="s">
        <v>44</v>
      </c>
      <c r="C265" s="1"/>
      <c r="D265" s="1"/>
      <c r="E265" s="1"/>
      <c r="F265" s="1"/>
      <c r="G265" s="1"/>
      <c r="H265" s="1"/>
      <c r="I265" s="1"/>
      <c r="J265" s="1"/>
      <c r="K265" s="452"/>
      <c r="L265" s="452"/>
      <c r="M265" s="452"/>
      <c r="N265" s="452"/>
      <c r="O265" s="452"/>
      <c r="P265" s="178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 t="str">
        <f t="shared" si="4"/>
        <v>SPACL</v>
      </c>
    </row>
    <row r="266" spans="1:39" x14ac:dyDescent="0.25">
      <c r="A266" s="2">
        <v>273</v>
      </c>
      <c r="B266" s="2" t="s">
        <v>40</v>
      </c>
      <c r="C266" s="2"/>
      <c r="D266" s="2"/>
      <c r="E266" s="2"/>
      <c r="F266" s="2"/>
      <c r="G266" s="2"/>
      <c r="H266" s="2"/>
      <c r="I266" s="2"/>
      <c r="J266" s="2"/>
      <c r="K266" s="451"/>
      <c r="L266" s="451"/>
      <c r="M266" s="451"/>
      <c r="N266" s="451"/>
      <c r="O266" s="451"/>
      <c r="P266" s="177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 t="str">
        <f t="shared" si="4"/>
        <v>NCL</v>
      </c>
    </row>
    <row r="267" spans="1:39" x14ac:dyDescent="0.25">
      <c r="A267">
        <v>274</v>
      </c>
      <c r="B267" t="s">
        <v>41</v>
      </c>
      <c r="P267" s="176"/>
      <c r="AM267" t="str">
        <f t="shared" si="4"/>
        <v>CL</v>
      </c>
    </row>
    <row r="268" spans="1:39" x14ac:dyDescent="0.25">
      <c r="A268">
        <v>275</v>
      </c>
      <c r="B268" t="s">
        <v>42</v>
      </c>
      <c r="P268" s="176"/>
      <c r="AM268" t="str">
        <f t="shared" si="4"/>
        <v>ACL</v>
      </c>
    </row>
    <row r="269" spans="1:39" x14ac:dyDescent="0.25">
      <c r="A269">
        <v>276</v>
      </c>
      <c r="B269" t="s">
        <v>43</v>
      </c>
      <c r="P269" s="176"/>
      <c r="AM269" t="str">
        <f t="shared" si="4"/>
        <v>SPCL</v>
      </c>
    </row>
    <row r="270" spans="1:39" x14ac:dyDescent="0.25">
      <c r="A270">
        <v>277</v>
      </c>
      <c r="B270" s="1" t="s">
        <v>44</v>
      </c>
      <c r="C270" s="1"/>
      <c r="D270" s="1"/>
      <c r="E270" s="1"/>
      <c r="F270" s="1"/>
      <c r="G270" s="1"/>
      <c r="H270" s="1"/>
      <c r="I270" s="1"/>
      <c r="J270" s="1"/>
      <c r="K270" s="452"/>
      <c r="L270" s="452"/>
      <c r="M270" s="452"/>
      <c r="N270" s="452"/>
      <c r="O270" s="452"/>
      <c r="P270" s="178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 t="str">
        <f t="shared" si="4"/>
        <v>SPACL</v>
      </c>
    </row>
    <row r="271" spans="1:39" x14ac:dyDescent="0.25">
      <c r="A271" s="2">
        <v>278</v>
      </c>
      <c r="B271" s="2" t="s">
        <v>40</v>
      </c>
      <c r="C271" s="2"/>
      <c r="D271" s="2"/>
      <c r="E271" s="2"/>
      <c r="F271" s="2"/>
      <c r="G271" s="2"/>
      <c r="H271" s="2"/>
      <c r="I271" s="2"/>
      <c r="J271" s="2"/>
      <c r="K271" s="451"/>
      <c r="L271" s="451"/>
      <c r="M271" s="451"/>
      <c r="N271" s="451"/>
      <c r="O271" s="451"/>
      <c r="P271" s="177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 t="str">
        <f t="shared" si="4"/>
        <v>NCL</v>
      </c>
    </row>
    <row r="272" spans="1:39" x14ac:dyDescent="0.25">
      <c r="A272">
        <v>279</v>
      </c>
      <c r="B272" t="s">
        <v>41</v>
      </c>
      <c r="P272" s="176"/>
      <c r="AM272" t="str">
        <f t="shared" si="4"/>
        <v>CL</v>
      </c>
    </row>
    <row r="273" spans="1:39" x14ac:dyDescent="0.25">
      <c r="A273">
        <v>280</v>
      </c>
      <c r="B273" t="s">
        <v>42</v>
      </c>
      <c r="P273" s="176"/>
      <c r="AM273" t="str">
        <f t="shared" si="4"/>
        <v>ACL</v>
      </c>
    </row>
    <row r="274" spans="1:39" x14ac:dyDescent="0.25">
      <c r="A274">
        <v>281</v>
      </c>
      <c r="B274" t="s">
        <v>43</v>
      </c>
      <c r="P274" s="176"/>
      <c r="AM274" t="str">
        <f t="shared" si="4"/>
        <v>SPCL</v>
      </c>
    </row>
    <row r="275" spans="1:39" x14ac:dyDescent="0.25">
      <c r="A275">
        <v>282</v>
      </c>
      <c r="B275" s="1" t="s">
        <v>44</v>
      </c>
      <c r="C275" s="1"/>
      <c r="D275" s="1"/>
      <c r="E275" s="1"/>
      <c r="F275" s="1"/>
      <c r="G275" s="1"/>
      <c r="H275" s="1"/>
      <c r="I275" s="1"/>
      <c r="J275" s="1"/>
      <c r="K275" s="452"/>
      <c r="L275" s="452"/>
      <c r="M275" s="452"/>
      <c r="N275" s="452"/>
      <c r="O275" s="452"/>
      <c r="P275" s="178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 t="str">
        <f t="shared" si="4"/>
        <v>SPACL</v>
      </c>
    </row>
    <row r="276" spans="1:39" x14ac:dyDescent="0.25">
      <c r="A276" s="2">
        <v>283</v>
      </c>
      <c r="B276" s="2" t="s">
        <v>40</v>
      </c>
      <c r="C276" s="2"/>
      <c r="D276" s="2"/>
      <c r="E276" s="2"/>
      <c r="F276" s="2"/>
      <c r="G276" s="2"/>
      <c r="H276" s="2"/>
      <c r="I276" s="2"/>
      <c r="J276" s="2"/>
      <c r="K276" s="451"/>
      <c r="L276" s="451"/>
      <c r="M276" s="451"/>
      <c r="N276" s="451"/>
      <c r="O276" s="451"/>
      <c r="P276" s="177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 t="str">
        <f t="shared" si="4"/>
        <v>NCL</v>
      </c>
    </row>
    <row r="277" spans="1:39" x14ac:dyDescent="0.25">
      <c r="A277">
        <v>284</v>
      </c>
      <c r="B277" t="s">
        <v>41</v>
      </c>
      <c r="P277" s="176"/>
      <c r="AM277" t="str">
        <f t="shared" si="4"/>
        <v>CL</v>
      </c>
    </row>
    <row r="278" spans="1:39" x14ac:dyDescent="0.25">
      <c r="A278">
        <v>285</v>
      </c>
      <c r="B278" t="s">
        <v>42</v>
      </c>
      <c r="P278" s="176"/>
      <c r="AM278" t="str">
        <f t="shared" si="4"/>
        <v>ACL</v>
      </c>
    </row>
    <row r="279" spans="1:39" x14ac:dyDescent="0.25">
      <c r="A279">
        <v>286</v>
      </c>
      <c r="B279" t="s">
        <v>43</v>
      </c>
      <c r="P279" s="176"/>
      <c r="AM279" t="str">
        <f t="shared" si="4"/>
        <v>SPCL</v>
      </c>
    </row>
    <row r="280" spans="1:39" x14ac:dyDescent="0.25">
      <c r="A280">
        <v>287</v>
      </c>
      <c r="B280" s="1" t="s">
        <v>44</v>
      </c>
      <c r="C280" s="1"/>
      <c r="D280" s="1"/>
      <c r="E280" s="1"/>
      <c r="F280" s="1"/>
      <c r="G280" s="1"/>
      <c r="H280" s="1"/>
      <c r="I280" s="1"/>
      <c r="J280" s="1"/>
      <c r="K280" s="452"/>
      <c r="L280" s="452"/>
      <c r="M280" s="452"/>
      <c r="N280" s="452"/>
      <c r="O280" s="452"/>
      <c r="P280" s="178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 t="str">
        <f t="shared" si="4"/>
        <v>SPACL</v>
      </c>
    </row>
    <row r="281" spans="1:39" x14ac:dyDescent="0.25">
      <c r="A281" s="2">
        <v>288</v>
      </c>
      <c r="B281" s="2" t="s">
        <v>40</v>
      </c>
      <c r="C281" s="2"/>
      <c r="D281" s="2"/>
      <c r="E281" s="2"/>
      <c r="F281" s="2"/>
      <c r="G281" s="2"/>
      <c r="H281" s="2"/>
      <c r="I281" s="2"/>
      <c r="J281" s="2"/>
      <c r="K281" s="451"/>
      <c r="L281" s="451"/>
      <c r="M281" s="451"/>
      <c r="N281" s="451"/>
      <c r="O281" s="451"/>
      <c r="P281" s="177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 t="str">
        <f t="shared" si="4"/>
        <v>NCL</v>
      </c>
    </row>
    <row r="282" spans="1:39" x14ac:dyDescent="0.25">
      <c r="A282">
        <v>289</v>
      </c>
      <c r="B282" t="s">
        <v>41</v>
      </c>
      <c r="P282" s="176"/>
      <c r="AM282" t="str">
        <f t="shared" si="4"/>
        <v>CL</v>
      </c>
    </row>
    <row r="283" spans="1:39" x14ac:dyDescent="0.25">
      <c r="A283">
        <v>290</v>
      </c>
      <c r="B283" t="s">
        <v>42</v>
      </c>
      <c r="P283" s="176"/>
      <c r="AM283" t="str">
        <f t="shared" si="4"/>
        <v>ACL</v>
      </c>
    </row>
    <row r="284" spans="1:39" x14ac:dyDescent="0.25">
      <c r="A284">
        <v>291</v>
      </c>
      <c r="B284" t="s">
        <v>43</v>
      </c>
      <c r="P284" s="176"/>
      <c r="AM284" t="str">
        <f t="shared" si="4"/>
        <v>SPCL</v>
      </c>
    </row>
    <row r="285" spans="1:39" x14ac:dyDescent="0.25">
      <c r="A285">
        <v>292</v>
      </c>
      <c r="B285" s="1" t="s">
        <v>44</v>
      </c>
      <c r="C285" s="1"/>
      <c r="D285" s="1"/>
      <c r="E285" s="1"/>
      <c r="F285" s="1"/>
      <c r="G285" s="1"/>
      <c r="H285" s="1"/>
      <c r="I285" s="1"/>
      <c r="J285" s="1"/>
      <c r="K285" s="452"/>
      <c r="L285" s="452"/>
      <c r="M285" s="452"/>
      <c r="N285" s="452"/>
      <c r="O285" s="452"/>
      <c r="P285" s="178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 t="str">
        <f t="shared" si="4"/>
        <v>SPACL</v>
      </c>
    </row>
    <row r="286" spans="1:39" x14ac:dyDescent="0.25">
      <c r="A286" s="2">
        <v>293</v>
      </c>
      <c r="B286" s="2" t="s">
        <v>40</v>
      </c>
      <c r="C286" s="2"/>
      <c r="D286" s="2"/>
      <c r="E286" s="2"/>
      <c r="F286" s="2"/>
      <c r="G286" s="2"/>
      <c r="H286" s="2"/>
      <c r="I286" s="2"/>
      <c r="J286" s="2"/>
      <c r="K286" s="451"/>
      <c r="L286" s="451"/>
      <c r="M286" s="451"/>
      <c r="N286" s="451"/>
      <c r="O286" s="451"/>
      <c r="P286" s="177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 t="str">
        <f t="shared" si="4"/>
        <v>NCL</v>
      </c>
    </row>
    <row r="287" spans="1:39" x14ac:dyDescent="0.25">
      <c r="A287">
        <v>294</v>
      </c>
      <c r="B287" t="s">
        <v>41</v>
      </c>
      <c r="P287" s="176"/>
      <c r="AM287" t="str">
        <f t="shared" si="4"/>
        <v>CL</v>
      </c>
    </row>
    <row r="288" spans="1:39" x14ac:dyDescent="0.25">
      <c r="A288">
        <v>295</v>
      </c>
      <c r="B288" t="s">
        <v>42</v>
      </c>
      <c r="P288" s="176"/>
      <c r="AM288" t="str">
        <f t="shared" si="4"/>
        <v>ACL</v>
      </c>
    </row>
    <row r="289" spans="1:39" x14ac:dyDescent="0.25">
      <c r="A289">
        <v>296</v>
      </c>
      <c r="B289" t="s">
        <v>43</v>
      </c>
      <c r="P289" s="176"/>
      <c r="AM289" t="str">
        <f t="shared" si="4"/>
        <v>SPCL</v>
      </c>
    </row>
    <row r="290" spans="1:39" x14ac:dyDescent="0.25">
      <c r="A290">
        <v>297</v>
      </c>
      <c r="B290" s="1" t="s">
        <v>44</v>
      </c>
      <c r="C290" s="1"/>
      <c r="D290" s="1"/>
      <c r="E290" s="1"/>
      <c r="F290" s="1"/>
      <c r="G290" s="1"/>
      <c r="H290" s="1"/>
      <c r="I290" s="1"/>
      <c r="J290" s="1"/>
      <c r="K290" s="452"/>
      <c r="L290" s="452"/>
      <c r="M290" s="452"/>
      <c r="N290" s="452"/>
      <c r="O290" s="452"/>
      <c r="P290" s="178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 t="str">
        <f t="shared" si="4"/>
        <v>SPACL</v>
      </c>
    </row>
    <row r="291" spans="1:39" x14ac:dyDescent="0.25">
      <c r="A291" s="2">
        <v>298</v>
      </c>
      <c r="B291" s="2" t="s">
        <v>40</v>
      </c>
      <c r="C291" s="2"/>
      <c r="D291" s="2"/>
      <c r="E291" s="2"/>
      <c r="F291" s="2"/>
      <c r="G291" s="2"/>
      <c r="H291" s="2"/>
      <c r="I291" s="2"/>
      <c r="J291" s="2"/>
      <c r="K291" s="451"/>
      <c r="L291" s="451"/>
      <c r="M291" s="451"/>
      <c r="N291" s="451"/>
      <c r="O291" s="451"/>
      <c r="P291" s="177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 t="str">
        <f t="shared" si="4"/>
        <v>NCL</v>
      </c>
    </row>
    <row r="292" spans="1:39" x14ac:dyDescent="0.25">
      <c r="A292">
        <v>299</v>
      </c>
      <c r="B292" t="s">
        <v>41</v>
      </c>
      <c r="P292" s="176"/>
      <c r="AM292" t="str">
        <f t="shared" si="4"/>
        <v>CL</v>
      </c>
    </row>
    <row r="293" spans="1:39" x14ac:dyDescent="0.25">
      <c r="A293">
        <v>300</v>
      </c>
      <c r="B293" t="s">
        <v>42</v>
      </c>
      <c r="P293" s="176"/>
      <c r="AM293" t="str">
        <f t="shared" si="4"/>
        <v>ACL</v>
      </c>
    </row>
    <row r="294" spans="1:39" x14ac:dyDescent="0.25">
      <c r="A294">
        <v>301</v>
      </c>
      <c r="B294" t="s">
        <v>43</v>
      </c>
      <c r="P294" s="176"/>
      <c r="AM294" t="str">
        <f t="shared" si="4"/>
        <v>SPCL</v>
      </c>
    </row>
    <row r="295" spans="1:39" x14ac:dyDescent="0.25">
      <c r="A295">
        <v>302</v>
      </c>
      <c r="B295" s="1" t="s">
        <v>44</v>
      </c>
      <c r="C295" s="1"/>
      <c r="D295" s="1"/>
      <c r="E295" s="1"/>
      <c r="F295" s="1"/>
      <c r="G295" s="1"/>
      <c r="H295" s="1"/>
      <c r="I295" s="1"/>
      <c r="J295" s="1"/>
      <c r="K295" s="452"/>
      <c r="L295" s="452"/>
      <c r="M295" s="452"/>
      <c r="N295" s="452"/>
      <c r="O295" s="452"/>
      <c r="P295" s="178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 t="str">
        <f t="shared" si="4"/>
        <v>SPACL</v>
      </c>
    </row>
    <row r="296" spans="1:39" x14ac:dyDescent="0.25">
      <c r="A296" s="2">
        <v>303</v>
      </c>
      <c r="B296" s="2" t="s">
        <v>40</v>
      </c>
      <c r="C296" s="2"/>
      <c r="D296" s="2"/>
      <c r="E296" s="2"/>
      <c r="F296" s="2"/>
      <c r="G296" s="2"/>
      <c r="H296" s="2"/>
      <c r="I296" s="2"/>
      <c r="J296" s="2"/>
      <c r="K296" s="451"/>
      <c r="L296" s="451"/>
      <c r="M296" s="451"/>
      <c r="N296" s="451"/>
      <c r="O296" s="451"/>
      <c r="P296" s="177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 t="str">
        <f t="shared" si="4"/>
        <v>NCL</v>
      </c>
    </row>
    <row r="297" spans="1:39" x14ac:dyDescent="0.25">
      <c r="A297">
        <v>304</v>
      </c>
      <c r="B297" t="s">
        <v>41</v>
      </c>
      <c r="P297" s="176"/>
      <c r="AM297" t="str">
        <f t="shared" si="4"/>
        <v>CL</v>
      </c>
    </row>
    <row r="298" spans="1:39" x14ac:dyDescent="0.25">
      <c r="A298">
        <v>305</v>
      </c>
      <c r="B298" t="s">
        <v>42</v>
      </c>
      <c r="P298" s="176"/>
      <c r="AM298" t="str">
        <f t="shared" si="4"/>
        <v>ACL</v>
      </c>
    </row>
    <row r="299" spans="1:39" x14ac:dyDescent="0.25">
      <c r="A299">
        <v>306</v>
      </c>
      <c r="B299" t="s">
        <v>43</v>
      </c>
      <c r="P299" s="176"/>
      <c r="AM299" t="str">
        <f t="shared" si="4"/>
        <v>SPCL</v>
      </c>
    </row>
    <row r="300" spans="1:39" x14ac:dyDescent="0.25">
      <c r="A300">
        <v>307</v>
      </c>
      <c r="B300" s="1" t="s">
        <v>44</v>
      </c>
      <c r="C300" s="1"/>
      <c r="D300" s="1"/>
      <c r="E300" s="1"/>
      <c r="F300" s="1"/>
      <c r="G300" s="1"/>
      <c r="H300" s="1"/>
      <c r="I300" s="1"/>
      <c r="J300" s="1"/>
      <c r="K300" s="452"/>
      <c r="L300" s="452"/>
      <c r="M300" s="452"/>
      <c r="N300" s="452"/>
      <c r="O300" s="452"/>
      <c r="P300" s="178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 t="str">
        <f t="shared" si="4"/>
        <v>SPACL</v>
      </c>
    </row>
    <row r="301" spans="1:39" x14ac:dyDescent="0.25">
      <c r="A301" s="2">
        <v>308</v>
      </c>
      <c r="B301" s="2" t="s">
        <v>40</v>
      </c>
      <c r="C301" s="2"/>
      <c r="D301" s="2"/>
      <c r="E301" s="2"/>
      <c r="F301" s="2"/>
      <c r="G301" s="2"/>
      <c r="H301" s="2"/>
      <c r="I301" s="2"/>
      <c r="J301" s="2"/>
      <c r="K301" s="451"/>
      <c r="L301" s="451"/>
      <c r="M301" s="451"/>
      <c r="N301" s="451"/>
      <c r="O301" s="451"/>
      <c r="P301" s="177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 t="str">
        <f t="shared" si="4"/>
        <v>NCL</v>
      </c>
    </row>
    <row r="302" spans="1:39" x14ac:dyDescent="0.25">
      <c r="A302">
        <v>309</v>
      </c>
      <c r="B302" t="s">
        <v>41</v>
      </c>
      <c r="P302" s="176"/>
      <c r="AM302" t="str">
        <f t="shared" si="4"/>
        <v>CL</v>
      </c>
    </row>
    <row r="303" spans="1:39" x14ac:dyDescent="0.25">
      <c r="A303">
        <v>310</v>
      </c>
      <c r="B303" t="s">
        <v>42</v>
      </c>
      <c r="P303" s="176"/>
      <c r="AM303" t="str">
        <f t="shared" si="4"/>
        <v>ACL</v>
      </c>
    </row>
    <row r="304" spans="1:39" x14ac:dyDescent="0.25">
      <c r="A304">
        <v>311</v>
      </c>
      <c r="B304" t="s">
        <v>43</v>
      </c>
      <c r="P304" s="176"/>
      <c r="AM304" t="str">
        <f t="shared" si="4"/>
        <v>SPCL</v>
      </c>
    </row>
    <row r="305" spans="1:39" x14ac:dyDescent="0.25">
      <c r="A305">
        <v>312</v>
      </c>
      <c r="B305" s="1" t="s">
        <v>44</v>
      </c>
      <c r="C305" s="1"/>
      <c r="D305" s="1"/>
      <c r="E305" s="1"/>
      <c r="F305" s="1"/>
      <c r="G305" s="1"/>
      <c r="H305" s="1"/>
      <c r="I305" s="1"/>
      <c r="J305" s="1"/>
      <c r="K305" s="452"/>
      <c r="L305" s="452"/>
      <c r="M305" s="452"/>
      <c r="N305" s="452"/>
      <c r="O305" s="452"/>
      <c r="P305" s="178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 t="str">
        <f t="shared" si="4"/>
        <v>SPACL</v>
      </c>
    </row>
    <row r="306" spans="1:39" x14ac:dyDescent="0.25">
      <c r="A306" s="2">
        <v>313</v>
      </c>
      <c r="B306" s="2" t="s">
        <v>40</v>
      </c>
      <c r="C306" s="2"/>
      <c r="D306" s="2"/>
      <c r="E306" s="2"/>
      <c r="F306" s="2"/>
      <c r="G306" s="2"/>
      <c r="H306" s="2"/>
      <c r="I306" s="2"/>
      <c r="J306" s="2"/>
      <c r="K306" s="451"/>
      <c r="L306" s="451"/>
      <c r="M306" s="451"/>
      <c r="N306" s="451"/>
      <c r="O306" s="451"/>
      <c r="P306" s="177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 t="str">
        <f t="shared" si="4"/>
        <v>NCL</v>
      </c>
    </row>
    <row r="307" spans="1:39" x14ac:dyDescent="0.25">
      <c r="A307">
        <v>314</v>
      </c>
      <c r="B307" t="s">
        <v>41</v>
      </c>
      <c r="P307" s="176"/>
      <c r="AM307" t="str">
        <f t="shared" si="4"/>
        <v>CL</v>
      </c>
    </row>
    <row r="308" spans="1:39" x14ac:dyDescent="0.25">
      <c r="A308">
        <v>315</v>
      </c>
      <c r="B308" t="s">
        <v>42</v>
      </c>
      <c r="P308" s="176"/>
      <c r="AM308" t="str">
        <f t="shared" si="4"/>
        <v>ACL</v>
      </c>
    </row>
    <row r="309" spans="1:39" x14ac:dyDescent="0.25">
      <c r="A309">
        <v>316</v>
      </c>
      <c r="B309" t="s">
        <v>43</v>
      </c>
      <c r="P309" s="176"/>
      <c r="AM309" t="str">
        <f t="shared" si="4"/>
        <v>SPCL</v>
      </c>
    </row>
    <row r="310" spans="1:39" x14ac:dyDescent="0.25">
      <c r="A310">
        <v>317</v>
      </c>
      <c r="B310" s="1" t="s">
        <v>44</v>
      </c>
      <c r="C310" s="1"/>
      <c r="D310" s="1"/>
      <c r="E310" s="1"/>
      <c r="F310" s="1"/>
      <c r="G310" s="1"/>
      <c r="H310" s="1"/>
      <c r="I310" s="1"/>
      <c r="J310" s="1"/>
      <c r="K310" s="452"/>
      <c r="L310" s="452"/>
      <c r="M310" s="452"/>
      <c r="N310" s="452"/>
      <c r="O310" s="452"/>
      <c r="P310" s="178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 t="str">
        <f t="shared" si="4"/>
        <v>SPACL</v>
      </c>
    </row>
    <row r="311" spans="1:39" x14ac:dyDescent="0.25">
      <c r="A311" s="2">
        <v>318</v>
      </c>
      <c r="B311" s="2" t="s">
        <v>40</v>
      </c>
      <c r="C311" s="2"/>
      <c r="D311" s="2"/>
      <c r="E311" s="2"/>
      <c r="F311" s="2"/>
      <c r="G311" s="2"/>
      <c r="H311" s="2"/>
      <c r="I311" s="2"/>
      <c r="J311" s="2"/>
      <c r="K311" s="451"/>
      <c r="L311" s="451"/>
      <c r="M311" s="451"/>
      <c r="N311" s="451"/>
      <c r="O311" s="451"/>
      <c r="P311" s="177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 t="str">
        <f t="shared" si="4"/>
        <v>NCL</v>
      </c>
    </row>
    <row r="312" spans="1:39" x14ac:dyDescent="0.25">
      <c r="A312">
        <v>319</v>
      </c>
      <c r="B312" t="s">
        <v>41</v>
      </c>
      <c r="P312" s="176"/>
      <c r="AM312" t="str">
        <f t="shared" si="4"/>
        <v>CL</v>
      </c>
    </row>
    <row r="313" spans="1:39" x14ac:dyDescent="0.25">
      <c r="A313">
        <v>320</v>
      </c>
      <c r="B313" t="s">
        <v>42</v>
      </c>
      <c r="P313" s="176"/>
      <c r="AM313" t="str">
        <f t="shared" si="4"/>
        <v>ACL</v>
      </c>
    </row>
    <row r="314" spans="1:39" x14ac:dyDescent="0.25">
      <c r="A314">
        <v>321</v>
      </c>
      <c r="B314" t="s">
        <v>43</v>
      </c>
      <c r="P314" s="176"/>
      <c r="AM314" t="str">
        <f t="shared" ref="AM314:AM377" si="5">_xlfn.CONCAT(B314,AL314)</f>
        <v>SPCL</v>
      </c>
    </row>
    <row r="315" spans="1:39" x14ac:dyDescent="0.25">
      <c r="A315">
        <v>322</v>
      </c>
      <c r="B315" s="1" t="s">
        <v>44</v>
      </c>
      <c r="C315" s="1"/>
      <c r="D315" s="1"/>
      <c r="E315" s="1"/>
      <c r="F315" s="1"/>
      <c r="G315" s="1"/>
      <c r="H315" s="1"/>
      <c r="I315" s="1"/>
      <c r="J315" s="1"/>
      <c r="K315" s="452"/>
      <c r="L315" s="452"/>
      <c r="M315" s="452"/>
      <c r="N315" s="452"/>
      <c r="O315" s="452"/>
      <c r="P315" s="178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 t="str">
        <f t="shared" si="5"/>
        <v>SPACL</v>
      </c>
    </row>
    <row r="316" spans="1:39" x14ac:dyDescent="0.25">
      <c r="A316" s="2">
        <v>323</v>
      </c>
      <c r="B316" s="2" t="s">
        <v>40</v>
      </c>
      <c r="C316" s="2"/>
      <c r="D316" s="2"/>
      <c r="E316" s="2"/>
      <c r="F316" s="2"/>
      <c r="G316" s="2"/>
      <c r="H316" s="2"/>
      <c r="I316" s="2"/>
      <c r="J316" s="2"/>
      <c r="K316" s="451"/>
      <c r="L316" s="451"/>
      <c r="M316" s="451"/>
      <c r="N316" s="451"/>
      <c r="O316" s="451"/>
      <c r="P316" s="177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 t="str">
        <f t="shared" si="5"/>
        <v>NCL</v>
      </c>
    </row>
    <row r="317" spans="1:39" x14ac:dyDescent="0.25">
      <c r="A317">
        <v>324</v>
      </c>
      <c r="B317" t="s">
        <v>41</v>
      </c>
      <c r="P317" s="176"/>
      <c r="AM317" t="str">
        <f t="shared" si="5"/>
        <v>CL</v>
      </c>
    </row>
    <row r="318" spans="1:39" x14ac:dyDescent="0.25">
      <c r="A318">
        <v>325</v>
      </c>
      <c r="B318" t="s">
        <v>42</v>
      </c>
      <c r="P318" s="176"/>
      <c r="AM318" t="str">
        <f t="shared" si="5"/>
        <v>ACL</v>
      </c>
    </row>
    <row r="319" spans="1:39" x14ac:dyDescent="0.25">
      <c r="A319">
        <v>326</v>
      </c>
      <c r="B319" t="s">
        <v>43</v>
      </c>
      <c r="P319" s="176"/>
      <c r="AM319" t="str">
        <f t="shared" si="5"/>
        <v>SPCL</v>
      </c>
    </row>
    <row r="320" spans="1:39" x14ac:dyDescent="0.25">
      <c r="A320">
        <v>327</v>
      </c>
      <c r="B320" s="1" t="s">
        <v>44</v>
      </c>
      <c r="C320" s="1"/>
      <c r="D320" s="1"/>
      <c r="E320" s="1"/>
      <c r="F320" s="1"/>
      <c r="G320" s="1"/>
      <c r="H320" s="1"/>
      <c r="I320" s="1"/>
      <c r="J320" s="1"/>
      <c r="K320" s="452"/>
      <c r="L320" s="452"/>
      <c r="M320" s="452"/>
      <c r="N320" s="452"/>
      <c r="O320" s="452"/>
      <c r="P320" s="178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 t="str">
        <f t="shared" si="5"/>
        <v>SPACL</v>
      </c>
    </row>
    <row r="321" spans="1:39" x14ac:dyDescent="0.25">
      <c r="A321" s="2">
        <v>328</v>
      </c>
      <c r="B321" s="2" t="s">
        <v>40</v>
      </c>
      <c r="C321" s="2"/>
      <c r="D321" s="2"/>
      <c r="E321" s="2"/>
      <c r="F321" s="2"/>
      <c r="G321" s="2"/>
      <c r="H321" s="2"/>
      <c r="I321" s="2"/>
      <c r="J321" s="2"/>
      <c r="K321" s="451"/>
      <c r="L321" s="451"/>
      <c r="M321" s="451"/>
      <c r="N321" s="451"/>
      <c r="O321" s="451"/>
      <c r="P321" s="177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 t="str">
        <f t="shared" si="5"/>
        <v>NCL</v>
      </c>
    </row>
    <row r="322" spans="1:39" x14ac:dyDescent="0.25">
      <c r="A322">
        <v>329</v>
      </c>
      <c r="B322" t="s">
        <v>41</v>
      </c>
      <c r="P322" s="176"/>
      <c r="AM322" t="str">
        <f t="shared" si="5"/>
        <v>CL</v>
      </c>
    </row>
    <row r="323" spans="1:39" x14ac:dyDescent="0.25">
      <c r="A323">
        <v>330</v>
      </c>
      <c r="B323" t="s">
        <v>42</v>
      </c>
      <c r="P323" s="176"/>
      <c r="AM323" t="str">
        <f t="shared" si="5"/>
        <v>ACL</v>
      </c>
    </row>
    <row r="324" spans="1:39" x14ac:dyDescent="0.25">
      <c r="A324">
        <v>331</v>
      </c>
      <c r="B324" t="s">
        <v>43</v>
      </c>
      <c r="P324" s="176"/>
      <c r="AM324" t="str">
        <f t="shared" si="5"/>
        <v>SPCL</v>
      </c>
    </row>
    <row r="325" spans="1:39" x14ac:dyDescent="0.25">
      <c r="A325">
        <v>332</v>
      </c>
      <c r="B325" s="1" t="s">
        <v>44</v>
      </c>
      <c r="C325" s="1"/>
      <c r="D325" s="1"/>
      <c r="E325" s="1"/>
      <c r="F325" s="1"/>
      <c r="G325" s="1"/>
      <c r="H325" s="1"/>
      <c r="I325" s="1"/>
      <c r="J325" s="1"/>
      <c r="K325" s="452"/>
      <c r="L325" s="452"/>
      <c r="M325" s="452"/>
      <c r="N325" s="452"/>
      <c r="O325" s="452"/>
      <c r="P325" s="178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 t="str">
        <f t="shared" si="5"/>
        <v>SPACL</v>
      </c>
    </row>
    <row r="326" spans="1:39" x14ac:dyDescent="0.25">
      <c r="A326" s="2">
        <v>333</v>
      </c>
      <c r="B326" s="2" t="s">
        <v>40</v>
      </c>
      <c r="C326" s="2"/>
      <c r="D326" s="2"/>
      <c r="E326" s="2"/>
      <c r="F326" s="2"/>
      <c r="G326" s="2"/>
      <c r="H326" s="2"/>
      <c r="I326" s="2"/>
      <c r="J326" s="2"/>
      <c r="K326" s="451"/>
      <c r="L326" s="451"/>
      <c r="M326" s="451"/>
      <c r="N326" s="451"/>
      <c r="O326" s="451"/>
      <c r="P326" s="177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 t="str">
        <f t="shared" si="5"/>
        <v>NCL</v>
      </c>
    </row>
    <row r="327" spans="1:39" x14ac:dyDescent="0.25">
      <c r="A327">
        <v>334</v>
      </c>
      <c r="B327" t="s">
        <v>41</v>
      </c>
      <c r="P327" s="176"/>
      <c r="AM327" t="str">
        <f t="shared" si="5"/>
        <v>CL</v>
      </c>
    </row>
    <row r="328" spans="1:39" x14ac:dyDescent="0.25">
      <c r="A328">
        <v>335</v>
      </c>
      <c r="B328" t="s">
        <v>42</v>
      </c>
      <c r="P328" s="176"/>
      <c r="AM328" t="str">
        <f t="shared" si="5"/>
        <v>ACL</v>
      </c>
    </row>
    <row r="329" spans="1:39" x14ac:dyDescent="0.25">
      <c r="A329">
        <v>336</v>
      </c>
      <c r="B329" t="s">
        <v>43</v>
      </c>
      <c r="P329" s="176"/>
      <c r="AM329" t="str">
        <f t="shared" si="5"/>
        <v>SPCL</v>
      </c>
    </row>
    <row r="330" spans="1:39" x14ac:dyDescent="0.25">
      <c r="A330">
        <v>337</v>
      </c>
      <c r="B330" s="1" t="s">
        <v>44</v>
      </c>
      <c r="C330" s="1"/>
      <c r="D330" s="1"/>
      <c r="E330" s="1"/>
      <c r="F330" s="1"/>
      <c r="G330" s="1"/>
      <c r="H330" s="1"/>
      <c r="I330" s="1"/>
      <c r="J330" s="1"/>
      <c r="K330" s="452"/>
      <c r="L330" s="452"/>
      <c r="M330" s="452"/>
      <c r="N330" s="452"/>
      <c r="O330" s="452"/>
      <c r="P330" s="178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 t="str">
        <f t="shared" si="5"/>
        <v>SPACL</v>
      </c>
    </row>
    <row r="331" spans="1:39" x14ac:dyDescent="0.25">
      <c r="A331" s="2">
        <v>338</v>
      </c>
      <c r="B331" s="2" t="s">
        <v>40</v>
      </c>
      <c r="C331" s="2"/>
      <c r="D331" s="2"/>
      <c r="E331" s="2"/>
      <c r="F331" s="2"/>
      <c r="G331" s="2"/>
      <c r="H331" s="2"/>
      <c r="I331" s="2"/>
      <c r="J331" s="2"/>
      <c r="K331" s="451"/>
      <c r="L331" s="451"/>
      <c r="M331" s="451"/>
      <c r="N331" s="451"/>
      <c r="O331" s="451"/>
      <c r="P331" s="177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 t="str">
        <f t="shared" si="5"/>
        <v>NCL</v>
      </c>
    </row>
    <row r="332" spans="1:39" x14ac:dyDescent="0.25">
      <c r="A332">
        <v>339</v>
      </c>
      <c r="B332" t="s">
        <v>41</v>
      </c>
      <c r="P332" s="176"/>
      <c r="AM332" t="str">
        <f t="shared" si="5"/>
        <v>CL</v>
      </c>
    </row>
    <row r="333" spans="1:39" x14ac:dyDescent="0.25">
      <c r="A333">
        <v>340</v>
      </c>
      <c r="B333" t="s">
        <v>42</v>
      </c>
      <c r="P333" s="176"/>
      <c r="AM333" t="str">
        <f t="shared" si="5"/>
        <v>ACL</v>
      </c>
    </row>
    <row r="334" spans="1:39" x14ac:dyDescent="0.25">
      <c r="A334">
        <v>341</v>
      </c>
      <c r="B334" t="s">
        <v>43</v>
      </c>
      <c r="P334" s="176"/>
      <c r="AM334" t="str">
        <f t="shared" si="5"/>
        <v>SPCL</v>
      </c>
    </row>
    <row r="335" spans="1:39" x14ac:dyDescent="0.25">
      <c r="A335">
        <v>342</v>
      </c>
      <c r="B335" s="1" t="s">
        <v>44</v>
      </c>
      <c r="C335" s="1"/>
      <c r="D335" s="1"/>
      <c r="E335" s="1"/>
      <c r="F335" s="1"/>
      <c r="G335" s="1"/>
      <c r="H335" s="1"/>
      <c r="I335" s="1"/>
      <c r="J335" s="1"/>
      <c r="K335" s="452"/>
      <c r="L335" s="452"/>
      <c r="M335" s="452"/>
      <c r="N335" s="452"/>
      <c r="O335" s="452"/>
      <c r="P335" s="178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 t="str">
        <f t="shared" si="5"/>
        <v>SPACL</v>
      </c>
    </row>
    <row r="336" spans="1:39" x14ac:dyDescent="0.25">
      <c r="A336" s="2">
        <v>343</v>
      </c>
      <c r="B336" s="2" t="s">
        <v>40</v>
      </c>
      <c r="C336" s="2"/>
      <c r="D336" s="2"/>
      <c r="E336" s="2"/>
      <c r="F336" s="2"/>
      <c r="G336" s="2"/>
      <c r="H336" s="2"/>
      <c r="I336" s="2"/>
      <c r="J336" s="2"/>
      <c r="K336" s="451"/>
      <c r="L336" s="451"/>
      <c r="M336" s="451"/>
      <c r="N336" s="451"/>
      <c r="O336" s="451"/>
      <c r="P336" s="177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 t="str">
        <f t="shared" si="5"/>
        <v>NCL</v>
      </c>
    </row>
    <row r="337" spans="1:39" x14ac:dyDescent="0.25">
      <c r="A337">
        <v>344</v>
      </c>
      <c r="B337" t="s">
        <v>41</v>
      </c>
      <c r="P337" s="176"/>
      <c r="AM337" t="str">
        <f t="shared" si="5"/>
        <v>CL</v>
      </c>
    </row>
    <row r="338" spans="1:39" x14ac:dyDescent="0.25">
      <c r="A338">
        <v>345</v>
      </c>
      <c r="B338" t="s">
        <v>42</v>
      </c>
      <c r="P338" s="176"/>
      <c r="AM338" t="str">
        <f t="shared" si="5"/>
        <v>ACL</v>
      </c>
    </row>
    <row r="339" spans="1:39" x14ac:dyDescent="0.25">
      <c r="A339">
        <v>346</v>
      </c>
      <c r="B339" t="s">
        <v>43</v>
      </c>
      <c r="P339" s="176"/>
      <c r="AM339" t="str">
        <f t="shared" si="5"/>
        <v>SPCL</v>
      </c>
    </row>
    <row r="340" spans="1:39" x14ac:dyDescent="0.25">
      <c r="A340">
        <v>347</v>
      </c>
      <c r="B340" s="1" t="s">
        <v>44</v>
      </c>
      <c r="C340" s="1"/>
      <c r="D340" s="1"/>
      <c r="E340" s="1"/>
      <c r="F340" s="1"/>
      <c r="G340" s="1"/>
      <c r="H340" s="1"/>
      <c r="I340" s="1"/>
      <c r="J340" s="1"/>
      <c r="K340" s="452"/>
      <c r="L340" s="452"/>
      <c r="M340" s="452"/>
      <c r="N340" s="452"/>
      <c r="O340" s="452"/>
      <c r="P340" s="178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 t="str">
        <f t="shared" si="5"/>
        <v>SPACL</v>
      </c>
    </row>
    <row r="341" spans="1:39" x14ac:dyDescent="0.25">
      <c r="A341" s="2">
        <v>348</v>
      </c>
      <c r="B341" s="2" t="s">
        <v>40</v>
      </c>
      <c r="C341" s="2"/>
      <c r="D341" s="2"/>
      <c r="E341" s="2"/>
      <c r="F341" s="2"/>
      <c r="G341" s="2"/>
      <c r="H341" s="2"/>
      <c r="I341" s="2"/>
      <c r="J341" s="2"/>
      <c r="K341" s="451"/>
      <c r="L341" s="451"/>
      <c r="M341" s="451"/>
      <c r="N341" s="451"/>
      <c r="O341" s="451"/>
      <c r="P341" s="177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 t="str">
        <f t="shared" si="5"/>
        <v>NCL</v>
      </c>
    </row>
    <row r="342" spans="1:39" x14ac:dyDescent="0.25">
      <c r="A342">
        <v>349</v>
      </c>
      <c r="B342" t="s">
        <v>41</v>
      </c>
      <c r="P342" s="176"/>
      <c r="AM342" t="str">
        <f t="shared" si="5"/>
        <v>CL</v>
      </c>
    </row>
    <row r="343" spans="1:39" x14ac:dyDescent="0.25">
      <c r="A343">
        <v>350</v>
      </c>
      <c r="B343" t="s">
        <v>42</v>
      </c>
      <c r="P343" s="176"/>
      <c r="AM343" t="str">
        <f t="shared" si="5"/>
        <v>ACL</v>
      </c>
    </row>
    <row r="344" spans="1:39" x14ac:dyDescent="0.25">
      <c r="A344">
        <v>351</v>
      </c>
      <c r="B344" t="s">
        <v>43</v>
      </c>
      <c r="P344" s="176"/>
      <c r="AM344" t="str">
        <f t="shared" si="5"/>
        <v>SPCL</v>
      </c>
    </row>
    <row r="345" spans="1:39" x14ac:dyDescent="0.25">
      <c r="A345">
        <v>352</v>
      </c>
      <c r="B345" s="1" t="s">
        <v>44</v>
      </c>
      <c r="C345" s="1"/>
      <c r="D345" s="1"/>
      <c r="E345" s="1"/>
      <c r="F345" s="1"/>
      <c r="G345" s="1"/>
      <c r="H345" s="1"/>
      <c r="I345" s="1"/>
      <c r="J345" s="1"/>
      <c r="K345" s="452"/>
      <c r="L345" s="452"/>
      <c r="M345" s="452"/>
      <c r="N345" s="452"/>
      <c r="O345" s="452"/>
      <c r="P345" s="178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 t="str">
        <f t="shared" si="5"/>
        <v>SPACL</v>
      </c>
    </row>
    <row r="346" spans="1:39" x14ac:dyDescent="0.25">
      <c r="A346" s="2">
        <v>353</v>
      </c>
      <c r="B346" s="2" t="s">
        <v>40</v>
      </c>
      <c r="C346" s="2"/>
      <c r="D346" s="2"/>
      <c r="E346" s="2"/>
      <c r="F346" s="2"/>
      <c r="G346" s="2"/>
      <c r="H346" s="2"/>
      <c r="I346" s="2"/>
      <c r="J346" s="2"/>
      <c r="K346" s="451"/>
      <c r="L346" s="451"/>
      <c r="M346" s="451"/>
      <c r="N346" s="451"/>
      <c r="O346" s="451"/>
      <c r="P346" s="177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 t="str">
        <f t="shared" si="5"/>
        <v>NCL</v>
      </c>
    </row>
    <row r="347" spans="1:39" x14ac:dyDescent="0.25">
      <c r="A347">
        <v>354</v>
      </c>
      <c r="B347" t="s">
        <v>41</v>
      </c>
      <c r="P347" s="176"/>
      <c r="AM347" t="str">
        <f t="shared" si="5"/>
        <v>CL</v>
      </c>
    </row>
    <row r="348" spans="1:39" x14ac:dyDescent="0.25">
      <c r="A348">
        <v>355</v>
      </c>
      <c r="B348" t="s">
        <v>42</v>
      </c>
      <c r="P348" s="176"/>
      <c r="AM348" t="str">
        <f t="shared" si="5"/>
        <v>ACL</v>
      </c>
    </row>
    <row r="349" spans="1:39" x14ac:dyDescent="0.25">
      <c r="A349">
        <v>356</v>
      </c>
      <c r="B349" t="s">
        <v>43</v>
      </c>
      <c r="P349" s="176"/>
      <c r="AM349" t="str">
        <f t="shared" si="5"/>
        <v>SPCL</v>
      </c>
    </row>
    <row r="350" spans="1:39" x14ac:dyDescent="0.25">
      <c r="A350">
        <v>357</v>
      </c>
      <c r="B350" s="1" t="s">
        <v>44</v>
      </c>
      <c r="C350" s="1"/>
      <c r="D350" s="1"/>
      <c r="E350" s="1"/>
      <c r="F350" s="1"/>
      <c r="G350" s="1"/>
      <c r="H350" s="1"/>
      <c r="I350" s="1"/>
      <c r="J350" s="1"/>
      <c r="K350" s="452"/>
      <c r="L350" s="452"/>
      <c r="M350" s="452"/>
      <c r="N350" s="452"/>
      <c r="O350" s="452"/>
      <c r="P350" s="178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 t="str">
        <f t="shared" si="5"/>
        <v>SPACL</v>
      </c>
    </row>
    <row r="351" spans="1:39" x14ac:dyDescent="0.25">
      <c r="A351" s="2">
        <v>358</v>
      </c>
      <c r="B351" s="2" t="s">
        <v>40</v>
      </c>
      <c r="C351" s="2"/>
      <c r="D351" s="2"/>
      <c r="E351" s="2"/>
      <c r="F351" s="2"/>
      <c r="G351" s="2"/>
      <c r="H351" s="2"/>
      <c r="I351" s="2"/>
      <c r="J351" s="2"/>
      <c r="K351" s="451"/>
      <c r="L351" s="451"/>
      <c r="M351" s="451"/>
      <c r="N351" s="451"/>
      <c r="O351" s="451"/>
      <c r="P351" s="177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 t="str">
        <f t="shared" si="5"/>
        <v>NCL</v>
      </c>
    </row>
    <row r="352" spans="1:39" x14ac:dyDescent="0.25">
      <c r="A352">
        <v>359</v>
      </c>
      <c r="B352" t="s">
        <v>41</v>
      </c>
      <c r="P352" s="176"/>
      <c r="AM352" t="str">
        <f t="shared" si="5"/>
        <v>CL</v>
      </c>
    </row>
    <row r="353" spans="1:39" x14ac:dyDescent="0.25">
      <c r="A353">
        <v>360</v>
      </c>
      <c r="B353" t="s">
        <v>42</v>
      </c>
      <c r="P353" s="176"/>
      <c r="AM353" t="str">
        <f t="shared" si="5"/>
        <v>ACL</v>
      </c>
    </row>
    <row r="354" spans="1:39" x14ac:dyDescent="0.25">
      <c r="A354">
        <v>361</v>
      </c>
      <c r="B354" t="s">
        <v>43</v>
      </c>
      <c r="P354" s="176"/>
      <c r="AM354" t="str">
        <f t="shared" si="5"/>
        <v>SPCL</v>
      </c>
    </row>
    <row r="355" spans="1:39" x14ac:dyDescent="0.25">
      <c r="A355">
        <v>362</v>
      </c>
      <c r="B355" s="1" t="s">
        <v>44</v>
      </c>
      <c r="C355" s="1"/>
      <c r="D355" s="1"/>
      <c r="E355" s="1"/>
      <c r="F355" s="1"/>
      <c r="G355" s="1"/>
      <c r="H355" s="1"/>
      <c r="I355" s="1"/>
      <c r="J355" s="1"/>
      <c r="K355" s="452"/>
      <c r="L355" s="452"/>
      <c r="M355" s="452"/>
      <c r="N355" s="452"/>
      <c r="O355" s="452"/>
      <c r="P355" s="178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 t="str">
        <f t="shared" si="5"/>
        <v>SPACL</v>
      </c>
    </row>
    <row r="356" spans="1:39" x14ac:dyDescent="0.25">
      <c r="A356" s="2">
        <v>363</v>
      </c>
      <c r="B356" s="2" t="s">
        <v>40</v>
      </c>
      <c r="C356" s="2"/>
      <c r="D356" s="2"/>
      <c r="E356" s="2"/>
      <c r="F356" s="2"/>
      <c r="G356" s="2"/>
      <c r="H356" s="2"/>
      <c r="I356" s="2"/>
      <c r="J356" s="2"/>
      <c r="K356" s="451"/>
      <c r="L356" s="451"/>
      <c r="M356" s="451"/>
      <c r="N356" s="451"/>
      <c r="O356" s="451"/>
      <c r="P356" s="177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 t="str">
        <f t="shared" si="5"/>
        <v>NCL</v>
      </c>
    </row>
    <row r="357" spans="1:39" x14ac:dyDescent="0.25">
      <c r="A357">
        <v>364</v>
      </c>
      <c r="B357" t="s">
        <v>41</v>
      </c>
      <c r="P357" s="176"/>
      <c r="AM357" t="str">
        <f t="shared" si="5"/>
        <v>CL</v>
      </c>
    </row>
    <row r="358" spans="1:39" x14ac:dyDescent="0.25">
      <c r="A358">
        <v>365</v>
      </c>
      <c r="B358" t="s">
        <v>42</v>
      </c>
      <c r="P358" s="176"/>
      <c r="AM358" t="str">
        <f t="shared" si="5"/>
        <v>ACL</v>
      </c>
    </row>
    <row r="359" spans="1:39" x14ac:dyDescent="0.25">
      <c r="A359">
        <v>366</v>
      </c>
      <c r="B359" t="s">
        <v>43</v>
      </c>
      <c r="P359" s="176"/>
      <c r="AM359" t="str">
        <f t="shared" si="5"/>
        <v>SPCL</v>
      </c>
    </row>
    <row r="360" spans="1:39" x14ac:dyDescent="0.25">
      <c r="A360">
        <v>367</v>
      </c>
      <c r="B360" s="1" t="s">
        <v>44</v>
      </c>
      <c r="C360" s="1"/>
      <c r="D360" s="1"/>
      <c r="E360" s="1"/>
      <c r="F360" s="1"/>
      <c r="G360" s="1"/>
      <c r="H360" s="1"/>
      <c r="I360" s="1"/>
      <c r="J360" s="1"/>
      <c r="K360" s="452"/>
      <c r="L360" s="452"/>
      <c r="M360" s="452"/>
      <c r="N360" s="452"/>
      <c r="O360" s="452"/>
      <c r="P360" s="178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 t="str">
        <f t="shared" si="5"/>
        <v>SPACL</v>
      </c>
    </row>
    <row r="361" spans="1:39" x14ac:dyDescent="0.25">
      <c r="A361" s="2">
        <v>368</v>
      </c>
      <c r="B361" s="2" t="s">
        <v>40</v>
      </c>
      <c r="C361" s="2"/>
      <c r="D361" s="2"/>
      <c r="E361" s="2"/>
      <c r="F361" s="2"/>
      <c r="G361" s="2"/>
      <c r="H361" s="2"/>
      <c r="I361" s="2"/>
      <c r="J361" s="2"/>
      <c r="K361" s="451"/>
      <c r="L361" s="451"/>
      <c r="M361" s="451"/>
      <c r="N361" s="451"/>
      <c r="O361" s="451"/>
      <c r="P361" s="177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 t="str">
        <f t="shared" si="5"/>
        <v>NCL</v>
      </c>
    </row>
    <row r="362" spans="1:39" x14ac:dyDescent="0.25">
      <c r="A362">
        <v>369</v>
      </c>
      <c r="B362" t="s">
        <v>41</v>
      </c>
      <c r="P362" s="176"/>
      <c r="AM362" t="str">
        <f t="shared" si="5"/>
        <v>CL</v>
      </c>
    </row>
    <row r="363" spans="1:39" x14ac:dyDescent="0.25">
      <c r="A363">
        <v>370</v>
      </c>
      <c r="B363" t="s">
        <v>42</v>
      </c>
      <c r="P363" s="176"/>
      <c r="AM363" t="str">
        <f t="shared" si="5"/>
        <v>ACL</v>
      </c>
    </row>
    <row r="364" spans="1:39" x14ac:dyDescent="0.25">
      <c r="A364">
        <v>371</v>
      </c>
      <c r="B364" t="s">
        <v>43</v>
      </c>
      <c r="P364" s="176"/>
      <c r="AM364" t="str">
        <f t="shared" si="5"/>
        <v>SPCL</v>
      </c>
    </row>
    <row r="365" spans="1:39" x14ac:dyDescent="0.25">
      <c r="A365">
        <v>372</v>
      </c>
      <c r="B365" s="1" t="s">
        <v>44</v>
      </c>
      <c r="C365" s="1"/>
      <c r="D365" s="1"/>
      <c r="E365" s="1"/>
      <c r="F365" s="1"/>
      <c r="G365" s="1"/>
      <c r="H365" s="1"/>
      <c r="I365" s="1"/>
      <c r="J365" s="1"/>
      <c r="K365" s="452"/>
      <c r="L365" s="452"/>
      <c r="M365" s="452"/>
      <c r="N365" s="452"/>
      <c r="O365" s="452"/>
      <c r="P365" s="178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 t="str">
        <f t="shared" si="5"/>
        <v>SPACL</v>
      </c>
    </row>
    <row r="366" spans="1:39" x14ac:dyDescent="0.25">
      <c r="A366" s="2">
        <v>373</v>
      </c>
      <c r="B366" s="2" t="s">
        <v>40</v>
      </c>
      <c r="C366" s="2"/>
      <c r="D366" s="2"/>
      <c r="E366" s="2"/>
      <c r="F366" s="2"/>
      <c r="G366" s="2"/>
      <c r="H366" s="2"/>
      <c r="I366" s="2"/>
      <c r="J366" s="2"/>
      <c r="K366" s="451"/>
      <c r="L366" s="451"/>
      <c r="M366" s="451"/>
      <c r="N366" s="451"/>
      <c r="O366" s="451"/>
      <c r="P366" s="177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 t="str">
        <f t="shared" si="5"/>
        <v>NCL</v>
      </c>
    </row>
    <row r="367" spans="1:39" x14ac:dyDescent="0.25">
      <c r="A367">
        <v>374</v>
      </c>
      <c r="B367" t="s">
        <v>41</v>
      </c>
      <c r="P367" s="176"/>
      <c r="AM367" t="str">
        <f t="shared" si="5"/>
        <v>CL</v>
      </c>
    </row>
    <row r="368" spans="1:39" x14ac:dyDescent="0.25">
      <c r="A368">
        <v>375</v>
      </c>
      <c r="B368" t="s">
        <v>42</v>
      </c>
      <c r="P368" s="176"/>
      <c r="AM368" t="str">
        <f t="shared" si="5"/>
        <v>ACL</v>
      </c>
    </row>
    <row r="369" spans="1:39" x14ac:dyDescent="0.25">
      <c r="A369">
        <v>376</v>
      </c>
      <c r="B369" t="s">
        <v>43</v>
      </c>
      <c r="P369" s="176"/>
      <c r="AM369" t="str">
        <f t="shared" si="5"/>
        <v>SPCL</v>
      </c>
    </row>
    <row r="370" spans="1:39" x14ac:dyDescent="0.25">
      <c r="A370">
        <v>377</v>
      </c>
      <c r="B370" s="1" t="s">
        <v>44</v>
      </c>
      <c r="C370" s="1"/>
      <c r="D370" s="1"/>
      <c r="E370" s="1"/>
      <c r="F370" s="1"/>
      <c r="G370" s="1"/>
      <c r="H370" s="1"/>
      <c r="I370" s="1"/>
      <c r="J370" s="1"/>
      <c r="K370" s="452"/>
      <c r="L370" s="452"/>
      <c r="M370" s="452"/>
      <c r="N370" s="452"/>
      <c r="O370" s="452"/>
      <c r="P370" s="178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 t="str">
        <f t="shared" si="5"/>
        <v>SPACL</v>
      </c>
    </row>
    <row r="371" spans="1:39" x14ac:dyDescent="0.25">
      <c r="A371" s="2">
        <v>378</v>
      </c>
      <c r="B371" s="2" t="s">
        <v>40</v>
      </c>
      <c r="C371" s="2"/>
      <c r="D371" s="2"/>
      <c r="E371" s="2"/>
      <c r="F371" s="2"/>
      <c r="G371" s="2"/>
      <c r="H371" s="2"/>
      <c r="I371" s="2"/>
      <c r="J371" s="2"/>
      <c r="K371" s="451"/>
      <c r="L371" s="451"/>
      <c r="M371" s="451"/>
      <c r="N371" s="451"/>
      <c r="O371" s="451"/>
      <c r="P371" s="177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 t="str">
        <f t="shared" si="5"/>
        <v>NCL</v>
      </c>
    </row>
    <row r="372" spans="1:39" x14ac:dyDescent="0.25">
      <c r="A372">
        <v>379</v>
      </c>
      <c r="B372" t="s">
        <v>41</v>
      </c>
      <c r="P372" s="176"/>
      <c r="AM372" t="str">
        <f t="shared" si="5"/>
        <v>CL</v>
      </c>
    </row>
    <row r="373" spans="1:39" x14ac:dyDescent="0.25">
      <c r="A373">
        <v>380</v>
      </c>
      <c r="B373" t="s">
        <v>42</v>
      </c>
      <c r="P373" s="176"/>
      <c r="AM373" t="str">
        <f t="shared" si="5"/>
        <v>ACL</v>
      </c>
    </row>
    <row r="374" spans="1:39" x14ac:dyDescent="0.25">
      <c r="A374">
        <v>381</v>
      </c>
      <c r="B374" t="s">
        <v>43</v>
      </c>
      <c r="P374" s="176"/>
      <c r="AM374" t="str">
        <f t="shared" si="5"/>
        <v>SPCL</v>
      </c>
    </row>
    <row r="375" spans="1:39" x14ac:dyDescent="0.25">
      <c r="A375">
        <v>382</v>
      </c>
      <c r="B375" s="1" t="s">
        <v>44</v>
      </c>
      <c r="C375" s="1"/>
      <c r="D375" s="1"/>
      <c r="E375" s="1"/>
      <c r="F375" s="1"/>
      <c r="G375" s="1"/>
      <c r="H375" s="1"/>
      <c r="I375" s="1"/>
      <c r="J375" s="1"/>
      <c r="K375" s="452"/>
      <c r="L375" s="452"/>
      <c r="M375" s="452"/>
      <c r="N375" s="452"/>
      <c r="O375" s="452"/>
      <c r="P375" s="178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 t="str">
        <f t="shared" si="5"/>
        <v>SPACL</v>
      </c>
    </row>
    <row r="376" spans="1:39" x14ac:dyDescent="0.25">
      <c r="A376" s="2">
        <v>383</v>
      </c>
      <c r="B376" s="2" t="s">
        <v>40</v>
      </c>
      <c r="C376" s="2"/>
      <c r="D376" s="2"/>
      <c r="E376" s="2"/>
      <c r="F376" s="2"/>
      <c r="G376" s="2"/>
      <c r="H376" s="2"/>
      <c r="I376" s="2"/>
      <c r="J376" s="2"/>
      <c r="K376" s="451"/>
      <c r="L376" s="451"/>
      <c r="M376" s="451"/>
      <c r="N376" s="451"/>
      <c r="O376" s="451"/>
      <c r="P376" s="177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 t="str">
        <f t="shared" si="5"/>
        <v>NCL</v>
      </c>
    </row>
    <row r="377" spans="1:39" x14ac:dyDescent="0.25">
      <c r="A377">
        <v>384</v>
      </c>
      <c r="B377" t="s">
        <v>41</v>
      </c>
      <c r="P377" s="176"/>
      <c r="AM377" t="str">
        <f t="shared" si="5"/>
        <v>CL</v>
      </c>
    </row>
    <row r="378" spans="1:39" x14ac:dyDescent="0.25">
      <c r="A378">
        <v>385</v>
      </c>
      <c r="B378" t="s">
        <v>42</v>
      </c>
      <c r="P378" s="176"/>
      <c r="AM378" t="str">
        <f t="shared" ref="AM378:AM441" si="6">_xlfn.CONCAT(B378,AL378)</f>
        <v>ACL</v>
      </c>
    </row>
    <row r="379" spans="1:39" x14ac:dyDescent="0.25">
      <c r="A379">
        <v>386</v>
      </c>
      <c r="B379" t="s">
        <v>43</v>
      </c>
      <c r="P379" s="176"/>
      <c r="AM379" t="str">
        <f t="shared" si="6"/>
        <v>SPCL</v>
      </c>
    </row>
    <row r="380" spans="1:39" x14ac:dyDescent="0.25">
      <c r="A380">
        <v>387</v>
      </c>
      <c r="B380" s="1" t="s">
        <v>44</v>
      </c>
      <c r="C380" s="1"/>
      <c r="D380" s="1"/>
      <c r="E380" s="1"/>
      <c r="F380" s="1"/>
      <c r="G380" s="1"/>
      <c r="H380" s="1"/>
      <c r="I380" s="1"/>
      <c r="J380" s="1"/>
      <c r="K380" s="452"/>
      <c r="L380" s="452"/>
      <c r="M380" s="452"/>
      <c r="N380" s="452"/>
      <c r="O380" s="452"/>
      <c r="P380" s="178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 t="str">
        <f t="shared" si="6"/>
        <v>SPACL</v>
      </c>
    </row>
    <row r="381" spans="1:39" x14ac:dyDescent="0.25">
      <c r="A381" s="2">
        <v>388</v>
      </c>
      <c r="B381" s="2" t="s">
        <v>40</v>
      </c>
      <c r="C381" s="2"/>
      <c r="D381" s="2"/>
      <c r="E381" s="2"/>
      <c r="F381" s="2"/>
      <c r="G381" s="2"/>
      <c r="H381" s="2"/>
      <c r="I381" s="2"/>
      <c r="J381" s="2"/>
      <c r="K381" s="451"/>
      <c r="L381" s="451"/>
      <c r="M381" s="451"/>
      <c r="N381" s="451"/>
      <c r="O381" s="451"/>
      <c r="P381" s="177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 t="str">
        <f t="shared" si="6"/>
        <v>NCL</v>
      </c>
    </row>
    <row r="382" spans="1:39" x14ac:dyDescent="0.25">
      <c r="A382">
        <v>389</v>
      </c>
      <c r="B382" t="s">
        <v>41</v>
      </c>
      <c r="P382" s="176"/>
      <c r="AM382" t="str">
        <f t="shared" si="6"/>
        <v>CL</v>
      </c>
    </row>
    <row r="383" spans="1:39" x14ac:dyDescent="0.25">
      <c r="A383">
        <v>390</v>
      </c>
      <c r="B383" t="s">
        <v>42</v>
      </c>
      <c r="P383" s="176"/>
      <c r="AM383" t="str">
        <f t="shared" si="6"/>
        <v>ACL</v>
      </c>
    </row>
    <row r="384" spans="1:39" x14ac:dyDescent="0.25">
      <c r="A384">
        <v>391</v>
      </c>
      <c r="B384" t="s">
        <v>43</v>
      </c>
      <c r="P384" s="176"/>
      <c r="AM384" t="str">
        <f t="shared" si="6"/>
        <v>SPCL</v>
      </c>
    </row>
    <row r="385" spans="1:39" x14ac:dyDescent="0.25">
      <c r="A385">
        <v>392</v>
      </c>
      <c r="B385" s="1" t="s">
        <v>44</v>
      </c>
      <c r="C385" s="1"/>
      <c r="D385" s="1"/>
      <c r="E385" s="1"/>
      <c r="F385" s="1"/>
      <c r="G385" s="1"/>
      <c r="H385" s="1"/>
      <c r="I385" s="1"/>
      <c r="J385" s="1"/>
      <c r="K385" s="452"/>
      <c r="L385" s="452"/>
      <c r="M385" s="452"/>
      <c r="N385" s="452"/>
      <c r="O385" s="452"/>
      <c r="P385" s="178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 t="str">
        <f t="shared" si="6"/>
        <v>SPACL</v>
      </c>
    </row>
    <row r="386" spans="1:39" x14ac:dyDescent="0.25">
      <c r="A386" s="2">
        <v>393</v>
      </c>
      <c r="B386" s="2" t="s">
        <v>40</v>
      </c>
      <c r="C386" s="2"/>
      <c r="D386" s="2"/>
      <c r="E386" s="2"/>
      <c r="F386" s="2"/>
      <c r="G386" s="2"/>
      <c r="H386" s="2"/>
      <c r="I386" s="2"/>
      <c r="J386" s="2"/>
      <c r="K386" s="451"/>
      <c r="L386" s="451"/>
      <c r="M386" s="451"/>
      <c r="N386" s="451"/>
      <c r="O386" s="451"/>
      <c r="P386" s="177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 t="str">
        <f t="shared" si="6"/>
        <v>NCL</v>
      </c>
    </row>
    <row r="387" spans="1:39" x14ac:dyDescent="0.25">
      <c r="A387">
        <v>394</v>
      </c>
      <c r="B387" t="s">
        <v>41</v>
      </c>
      <c r="P387" s="176"/>
      <c r="AM387" t="str">
        <f t="shared" si="6"/>
        <v>CL</v>
      </c>
    </row>
    <row r="388" spans="1:39" x14ac:dyDescent="0.25">
      <c r="A388">
        <v>395</v>
      </c>
      <c r="B388" t="s">
        <v>42</v>
      </c>
      <c r="P388" s="176"/>
      <c r="AM388" t="str">
        <f t="shared" si="6"/>
        <v>ACL</v>
      </c>
    </row>
    <row r="389" spans="1:39" x14ac:dyDescent="0.25">
      <c r="A389">
        <v>396</v>
      </c>
      <c r="B389" t="s">
        <v>43</v>
      </c>
      <c r="P389" s="176"/>
      <c r="AM389" t="str">
        <f t="shared" si="6"/>
        <v>SPCL</v>
      </c>
    </row>
    <row r="390" spans="1:39" x14ac:dyDescent="0.25">
      <c r="A390">
        <v>397</v>
      </c>
      <c r="B390" s="1" t="s">
        <v>44</v>
      </c>
      <c r="C390" s="1"/>
      <c r="D390" s="1"/>
      <c r="E390" s="1"/>
      <c r="F390" s="1"/>
      <c r="G390" s="1"/>
      <c r="H390" s="1"/>
      <c r="I390" s="1"/>
      <c r="J390" s="1"/>
      <c r="K390" s="452"/>
      <c r="L390" s="452"/>
      <c r="M390" s="452"/>
      <c r="N390" s="452"/>
      <c r="O390" s="452"/>
      <c r="P390" s="178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 t="str">
        <f t="shared" si="6"/>
        <v>SPACL</v>
      </c>
    </row>
    <row r="391" spans="1:39" x14ac:dyDescent="0.25">
      <c r="A391" s="2">
        <v>398</v>
      </c>
      <c r="B391" s="2" t="s">
        <v>40</v>
      </c>
      <c r="C391" s="2"/>
      <c r="D391" s="2"/>
      <c r="E391" s="2"/>
      <c r="F391" s="2"/>
      <c r="G391" s="2"/>
      <c r="H391" s="2"/>
      <c r="I391" s="2"/>
      <c r="J391" s="2"/>
      <c r="K391" s="451"/>
      <c r="L391" s="451"/>
      <c r="M391" s="451"/>
      <c r="N391" s="451"/>
      <c r="O391" s="451"/>
      <c r="P391" s="177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 t="str">
        <f t="shared" si="6"/>
        <v>NCL</v>
      </c>
    </row>
    <row r="392" spans="1:39" x14ac:dyDescent="0.25">
      <c r="A392">
        <v>399</v>
      </c>
      <c r="B392" t="s">
        <v>41</v>
      </c>
      <c r="P392" s="176"/>
      <c r="AM392" t="str">
        <f t="shared" si="6"/>
        <v>CL</v>
      </c>
    </row>
    <row r="393" spans="1:39" x14ac:dyDescent="0.25">
      <c r="A393">
        <v>400</v>
      </c>
      <c r="B393" t="s">
        <v>42</v>
      </c>
      <c r="P393" s="176"/>
      <c r="AM393" t="str">
        <f t="shared" si="6"/>
        <v>ACL</v>
      </c>
    </row>
    <row r="394" spans="1:39" x14ac:dyDescent="0.25">
      <c r="A394">
        <v>401</v>
      </c>
      <c r="B394" t="s">
        <v>43</v>
      </c>
      <c r="P394" s="176"/>
      <c r="AM394" t="str">
        <f t="shared" si="6"/>
        <v>SPCL</v>
      </c>
    </row>
    <row r="395" spans="1:39" x14ac:dyDescent="0.25">
      <c r="A395">
        <v>402</v>
      </c>
      <c r="B395" s="1" t="s">
        <v>44</v>
      </c>
      <c r="C395" s="1"/>
      <c r="D395" s="1"/>
      <c r="E395" s="1"/>
      <c r="F395" s="1"/>
      <c r="G395" s="1"/>
      <c r="H395" s="1"/>
      <c r="I395" s="1"/>
      <c r="J395" s="1"/>
      <c r="K395" s="452"/>
      <c r="L395" s="452"/>
      <c r="M395" s="452"/>
      <c r="N395" s="452"/>
      <c r="O395" s="452"/>
      <c r="P395" s="178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 t="str">
        <f t="shared" si="6"/>
        <v>SPACL</v>
      </c>
    </row>
    <row r="396" spans="1:39" x14ac:dyDescent="0.25">
      <c r="A396" s="2">
        <v>403</v>
      </c>
      <c r="B396" s="2" t="s">
        <v>40</v>
      </c>
      <c r="C396" s="2"/>
      <c r="D396" s="2"/>
      <c r="E396" s="2"/>
      <c r="F396" s="2"/>
      <c r="G396" s="2"/>
      <c r="H396" s="2"/>
      <c r="I396" s="2"/>
      <c r="J396" s="2"/>
      <c r="K396" s="451"/>
      <c r="L396" s="451"/>
      <c r="M396" s="451"/>
      <c r="N396" s="451"/>
      <c r="O396" s="451"/>
      <c r="P396" s="177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 t="str">
        <f t="shared" si="6"/>
        <v>NCL</v>
      </c>
    </row>
    <row r="397" spans="1:39" x14ac:dyDescent="0.25">
      <c r="A397">
        <v>404</v>
      </c>
      <c r="B397" t="s">
        <v>41</v>
      </c>
      <c r="P397" s="176"/>
      <c r="AM397" t="str">
        <f t="shared" si="6"/>
        <v>CL</v>
      </c>
    </row>
    <row r="398" spans="1:39" x14ac:dyDescent="0.25">
      <c r="A398">
        <v>405</v>
      </c>
      <c r="B398" t="s">
        <v>42</v>
      </c>
      <c r="P398" s="176"/>
      <c r="AM398" t="str">
        <f t="shared" si="6"/>
        <v>ACL</v>
      </c>
    </row>
    <row r="399" spans="1:39" x14ac:dyDescent="0.25">
      <c r="A399">
        <v>406</v>
      </c>
      <c r="B399" t="s">
        <v>43</v>
      </c>
      <c r="P399" s="176"/>
      <c r="AM399" t="str">
        <f t="shared" si="6"/>
        <v>SPCL</v>
      </c>
    </row>
    <row r="400" spans="1:39" x14ac:dyDescent="0.25">
      <c r="A400">
        <v>407</v>
      </c>
      <c r="B400" s="1" t="s">
        <v>44</v>
      </c>
      <c r="C400" s="1"/>
      <c r="D400" s="1"/>
      <c r="E400" s="1"/>
      <c r="F400" s="1"/>
      <c r="G400" s="1"/>
      <c r="H400" s="1"/>
      <c r="I400" s="1"/>
      <c r="J400" s="1"/>
      <c r="K400" s="452"/>
      <c r="L400" s="452"/>
      <c r="M400" s="452"/>
      <c r="N400" s="452"/>
      <c r="O400" s="452"/>
      <c r="P400" s="178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 t="str">
        <f t="shared" si="6"/>
        <v>SPACL</v>
      </c>
    </row>
    <row r="401" spans="1:39" x14ac:dyDescent="0.25">
      <c r="A401" s="2">
        <v>408</v>
      </c>
      <c r="B401" s="2" t="s">
        <v>40</v>
      </c>
      <c r="C401" s="2"/>
      <c r="D401" s="2"/>
      <c r="E401" s="2"/>
      <c r="F401" s="2"/>
      <c r="G401" s="2"/>
      <c r="H401" s="2"/>
      <c r="I401" s="2"/>
      <c r="J401" s="2"/>
      <c r="K401" s="451"/>
      <c r="L401" s="451"/>
      <c r="M401" s="451"/>
      <c r="N401" s="451"/>
      <c r="O401" s="451"/>
      <c r="P401" s="177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 t="str">
        <f t="shared" si="6"/>
        <v>NCL</v>
      </c>
    </row>
    <row r="402" spans="1:39" x14ac:dyDescent="0.25">
      <c r="A402">
        <v>409</v>
      </c>
      <c r="B402" t="s">
        <v>41</v>
      </c>
      <c r="P402" s="176"/>
      <c r="AM402" t="str">
        <f t="shared" si="6"/>
        <v>CL</v>
      </c>
    </row>
    <row r="403" spans="1:39" x14ac:dyDescent="0.25">
      <c r="A403">
        <v>410</v>
      </c>
      <c r="B403" t="s">
        <v>42</v>
      </c>
      <c r="P403" s="176"/>
      <c r="AM403" t="str">
        <f t="shared" si="6"/>
        <v>ACL</v>
      </c>
    </row>
    <row r="404" spans="1:39" x14ac:dyDescent="0.25">
      <c r="A404">
        <v>411</v>
      </c>
      <c r="B404" t="s">
        <v>43</v>
      </c>
      <c r="P404" s="176"/>
      <c r="AM404" t="str">
        <f t="shared" si="6"/>
        <v>SPCL</v>
      </c>
    </row>
    <row r="405" spans="1:39" x14ac:dyDescent="0.25">
      <c r="A405">
        <v>412</v>
      </c>
      <c r="B405" s="1" t="s">
        <v>44</v>
      </c>
      <c r="C405" s="1"/>
      <c r="D405" s="1"/>
      <c r="E405" s="1"/>
      <c r="F405" s="1"/>
      <c r="G405" s="1"/>
      <c r="H405" s="1"/>
      <c r="I405" s="1"/>
      <c r="J405" s="1"/>
      <c r="K405" s="452"/>
      <c r="L405" s="452"/>
      <c r="M405" s="452"/>
      <c r="N405" s="452"/>
      <c r="O405" s="452"/>
      <c r="P405" s="178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 t="str">
        <f t="shared" si="6"/>
        <v>SPACL</v>
      </c>
    </row>
    <row r="406" spans="1:39" x14ac:dyDescent="0.25">
      <c r="A406" s="2">
        <v>413</v>
      </c>
      <c r="B406" s="2" t="s">
        <v>40</v>
      </c>
      <c r="C406" s="2"/>
      <c r="D406" s="2"/>
      <c r="E406" s="2"/>
      <c r="F406" s="2"/>
      <c r="G406" s="2"/>
      <c r="H406" s="2"/>
      <c r="I406" s="2"/>
      <c r="J406" s="2"/>
      <c r="K406" s="451"/>
      <c r="L406" s="451"/>
      <c r="M406" s="451"/>
      <c r="N406" s="451"/>
      <c r="O406" s="451"/>
      <c r="P406" s="177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 t="str">
        <f t="shared" si="6"/>
        <v>NCL</v>
      </c>
    </row>
    <row r="407" spans="1:39" x14ac:dyDescent="0.25">
      <c r="A407">
        <v>414</v>
      </c>
      <c r="B407" t="s">
        <v>41</v>
      </c>
      <c r="P407" s="176"/>
      <c r="AM407" t="str">
        <f t="shared" si="6"/>
        <v>CL</v>
      </c>
    </row>
    <row r="408" spans="1:39" x14ac:dyDescent="0.25">
      <c r="A408">
        <v>415</v>
      </c>
      <c r="B408" t="s">
        <v>42</v>
      </c>
      <c r="P408" s="176"/>
      <c r="AM408" t="str">
        <f t="shared" si="6"/>
        <v>ACL</v>
      </c>
    </row>
    <row r="409" spans="1:39" x14ac:dyDescent="0.25">
      <c r="A409">
        <v>416</v>
      </c>
      <c r="B409" t="s">
        <v>43</v>
      </c>
      <c r="P409" s="176"/>
      <c r="AM409" t="str">
        <f t="shared" si="6"/>
        <v>SPCL</v>
      </c>
    </row>
    <row r="410" spans="1:39" x14ac:dyDescent="0.25">
      <c r="A410">
        <v>417</v>
      </c>
      <c r="B410" s="1" t="s">
        <v>44</v>
      </c>
      <c r="C410" s="1"/>
      <c r="D410" s="1"/>
      <c r="E410" s="1"/>
      <c r="F410" s="1"/>
      <c r="G410" s="1"/>
      <c r="H410" s="1"/>
      <c r="I410" s="1"/>
      <c r="J410" s="1"/>
      <c r="K410" s="452"/>
      <c r="L410" s="452"/>
      <c r="M410" s="452"/>
      <c r="N410" s="452"/>
      <c r="O410" s="452"/>
      <c r="P410" s="178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 t="str">
        <f t="shared" si="6"/>
        <v>SPACL</v>
      </c>
    </row>
    <row r="411" spans="1:39" x14ac:dyDescent="0.25">
      <c r="A411" s="2">
        <v>418</v>
      </c>
      <c r="B411" s="2" t="s">
        <v>40</v>
      </c>
      <c r="C411" s="2"/>
      <c r="D411" s="2"/>
      <c r="E411" s="2"/>
      <c r="F411" s="2"/>
      <c r="G411" s="2"/>
      <c r="H411" s="2"/>
      <c r="I411" s="2"/>
      <c r="J411" s="2"/>
      <c r="K411" s="451"/>
      <c r="L411" s="451"/>
      <c r="M411" s="451"/>
      <c r="N411" s="451"/>
      <c r="O411" s="451"/>
      <c r="P411" s="177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 t="str">
        <f t="shared" si="6"/>
        <v>NCL</v>
      </c>
    </row>
    <row r="412" spans="1:39" x14ac:dyDescent="0.25">
      <c r="A412">
        <v>419</v>
      </c>
      <c r="B412" t="s">
        <v>41</v>
      </c>
      <c r="P412" s="176"/>
      <c r="AM412" t="str">
        <f t="shared" si="6"/>
        <v>CL</v>
      </c>
    </row>
    <row r="413" spans="1:39" x14ac:dyDescent="0.25">
      <c r="A413">
        <v>420</v>
      </c>
      <c r="B413" t="s">
        <v>42</v>
      </c>
      <c r="P413" s="176"/>
      <c r="AM413" t="str">
        <f t="shared" si="6"/>
        <v>ACL</v>
      </c>
    </row>
    <row r="414" spans="1:39" x14ac:dyDescent="0.25">
      <c r="A414">
        <v>421</v>
      </c>
      <c r="B414" t="s">
        <v>43</v>
      </c>
      <c r="P414" s="176"/>
      <c r="AM414" t="str">
        <f t="shared" si="6"/>
        <v>SPCL</v>
      </c>
    </row>
    <row r="415" spans="1:39" x14ac:dyDescent="0.25">
      <c r="A415">
        <v>422</v>
      </c>
      <c r="B415" s="1" t="s">
        <v>44</v>
      </c>
      <c r="C415" s="1"/>
      <c r="D415" s="1"/>
      <c r="E415" s="1"/>
      <c r="F415" s="1"/>
      <c r="G415" s="1"/>
      <c r="H415" s="1"/>
      <c r="I415" s="1"/>
      <c r="J415" s="1"/>
      <c r="K415" s="452"/>
      <c r="L415" s="452"/>
      <c r="M415" s="452"/>
      <c r="N415" s="452"/>
      <c r="O415" s="452"/>
      <c r="P415" s="178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 t="str">
        <f t="shared" si="6"/>
        <v>SPACL</v>
      </c>
    </row>
    <row r="416" spans="1:39" x14ac:dyDescent="0.25">
      <c r="A416" s="2">
        <v>423</v>
      </c>
      <c r="B416" s="2" t="s">
        <v>40</v>
      </c>
      <c r="C416" s="2"/>
      <c r="D416" s="2"/>
      <c r="E416" s="2"/>
      <c r="F416" s="2"/>
      <c r="G416" s="2"/>
      <c r="H416" s="2"/>
      <c r="I416" s="2"/>
      <c r="J416" s="2"/>
      <c r="K416" s="451"/>
      <c r="L416" s="451"/>
      <c r="M416" s="451"/>
      <c r="N416" s="451"/>
      <c r="O416" s="451"/>
      <c r="P416" s="177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 t="str">
        <f t="shared" si="6"/>
        <v>NCL</v>
      </c>
    </row>
    <row r="417" spans="1:39" x14ac:dyDescent="0.25">
      <c r="A417">
        <v>424</v>
      </c>
      <c r="B417" t="s">
        <v>41</v>
      </c>
      <c r="P417" s="176"/>
      <c r="AM417" t="str">
        <f t="shared" si="6"/>
        <v>CL</v>
      </c>
    </row>
    <row r="418" spans="1:39" x14ac:dyDescent="0.25">
      <c r="A418">
        <v>425</v>
      </c>
      <c r="B418" t="s">
        <v>42</v>
      </c>
      <c r="P418" s="176"/>
      <c r="AM418" t="str">
        <f t="shared" si="6"/>
        <v>ACL</v>
      </c>
    </row>
    <row r="419" spans="1:39" x14ac:dyDescent="0.25">
      <c r="A419">
        <v>426</v>
      </c>
      <c r="B419" t="s">
        <v>43</v>
      </c>
      <c r="P419" s="176"/>
      <c r="AM419" t="str">
        <f t="shared" si="6"/>
        <v>SPCL</v>
      </c>
    </row>
    <row r="420" spans="1:39" x14ac:dyDescent="0.25">
      <c r="A420">
        <v>427</v>
      </c>
      <c r="B420" s="1" t="s">
        <v>44</v>
      </c>
      <c r="C420" s="1"/>
      <c r="D420" s="1"/>
      <c r="E420" s="1"/>
      <c r="F420" s="1"/>
      <c r="G420" s="1"/>
      <c r="H420" s="1"/>
      <c r="I420" s="1"/>
      <c r="J420" s="1"/>
      <c r="K420" s="452"/>
      <c r="L420" s="452"/>
      <c r="M420" s="452"/>
      <c r="N420" s="452"/>
      <c r="O420" s="452"/>
      <c r="P420" s="178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 t="str">
        <f t="shared" si="6"/>
        <v>SPACL</v>
      </c>
    </row>
    <row r="421" spans="1:39" x14ac:dyDescent="0.25">
      <c r="A421" s="2">
        <v>428</v>
      </c>
      <c r="B421" s="2" t="s">
        <v>40</v>
      </c>
      <c r="C421" s="2"/>
      <c r="D421" s="2"/>
      <c r="E421" s="2"/>
      <c r="F421" s="2"/>
      <c r="G421" s="2"/>
      <c r="H421" s="2"/>
      <c r="I421" s="2"/>
      <c r="J421" s="2"/>
      <c r="K421" s="451"/>
      <c r="L421" s="451"/>
      <c r="M421" s="451"/>
      <c r="N421" s="451"/>
      <c r="O421" s="451"/>
      <c r="P421" s="177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 t="str">
        <f t="shared" si="6"/>
        <v>NCL</v>
      </c>
    </row>
    <row r="422" spans="1:39" x14ac:dyDescent="0.25">
      <c r="A422">
        <v>429</v>
      </c>
      <c r="B422" t="s">
        <v>41</v>
      </c>
      <c r="P422" s="176"/>
      <c r="AM422" t="str">
        <f t="shared" si="6"/>
        <v>CL</v>
      </c>
    </row>
    <row r="423" spans="1:39" x14ac:dyDescent="0.25">
      <c r="A423">
        <v>430</v>
      </c>
      <c r="B423" t="s">
        <v>42</v>
      </c>
      <c r="P423" s="176"/>
      <c r="AM423" t="str">
        <f t="shared" si="6"/>
        <v>ACL</v>
      </c>
    </row>
    <row r="424" spans="1:39" x14ac:dyDescent="0.25">
      <c r="A424">
        <v>431</v>
      </c>
      <c r="B424" t="s">
        <v>43</v>
      </c>
      <c r="P424" s="176"/>
      <c r="AM424" t="str">
        <f t="shared" si="6"/>
        <v>SPCL</v>
      </c>
    </row>
    <row r="425" spans="1:39" x14ac:dyDescent="0.25">
      <c r="A425">
        <v>432</v>
      </c>
      <c r="B425" s="1" t="s">
        <v>44</v>
      </c>
      <c r="C425" s="1"/>
      <c r="D425" s="1"/>
      <c r="E425" s="1"/>
      <c r="F425" s="1"/>
      <c r="G425" s="1"/>
      <c r="H425" s="1"/>
      <c r="I425" s="1"/>
      <c r="J425" s="1"/>
      <c r="K425" s="452"/>
      <c r="L425" s="452"/>
      <c r="M425" s="452"/>
      <c r="N425" s="452"/>
      <c r="O425" s="452"/>
      <c r="P425" s="178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 t="str">
        <f t="shared" si="6"/>
        <v>SPACL</v>
      </c>
    </row>
    <row r="426" spans="1:39" x14ac:dyDescent="0.25">
      <c r="A426" s="2">
        <v>433</v>
      </c>
      <c r="B426" s="2" t="s">
        <v>40</v>
      </c>
      <c r="C426" s="2"/>
      <c r="D426" s="2"/>
      <c r="E426" s="2"/>
      <c r="F426" s="2"/>
      <c r="G426" s="2"/>
      <c r="H426" s="2"/>
      <c r="I426" s="2"/>
      <c r="J426" s="2"/>
      <c r="K426" s="451"/>
      <c r="L426" s="451"/>
      <c r="M426" s="451"/>
      <c r="N426" s="451"/>
      <c r="O426" s="451"/>
      <c r="P426" s="177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 t="str">
        <f t="shared" si="6"/>
        <v>NCL</v>
      </c>
    </row>
    <row r="427" spans="1:39" x14ac:dyDescent="0.25">
      <c r="A427">
        <v>434</v>
      </c>
      <c r="B427" t="s">
        <v>41</v>
      </c>
      <c r="P427" s="176"/>
      <c r="AM427" t="str">
        <f t="shared" si="6"/>
        <v>CL</v>
      </c>
    </row>
    <row r="428" spans="1:39" x14ac:dyDescent="0.25">
      <c r="A428">
        <v>435</v>
      </c>
      <c r="B428" t="s">
        <v>42</v>
      </c>
      <c r="P428" s="176"/>
      <c r="AM428" t="str">
        <f t="shared" si="6"/>
        <v>ACL</v>
      </c>
    </row>
    <row r="429" spans="1:39" x14ac:dyDescent="0.25">
      <c r="A429">
        <v>436</v>
      </c>
      <c r="B429" t="s">
        <v>43</v>
      </c>
      <c r="P429" s="176"/>
      <c r="AM429" t="str">
        <f t="shared" si="6"/>
        <v>SPCL</v>
      </c>
    </row>
    <row r="430" spans="1:39" x14ac:dyDescent="0.25">
      <c r="A430">
        <v>437</v>
      </c>
      <c r="B430" s="1" t="s">
        <v>44</v>
      </c>
      <c r="C430" s="1"/>
      <c r="D430" s="1"/>
      <c r="E430" s="1"/>
      <c r="F430" s="1"/>
      <c r="G430" s="1"/>
      <c r="H430" s="1"/>
      <c r="I430" s="1"/>
      <c r="J430" s="1"/>
      <c r="K430" s="452"/>
      <c r="L430" s="452"/>
      <c r="M430" s="452"/>
      <c r="N430" s="452"/>
      <c r="O430" s="452"/>
      <c r="P430" s="178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 t="str">
        <f t="shared" si="6"/>
        <v>SPACL</v>
      </c>
    </row>
    <row r="431" spans="1:39" x14ac:dyDescent="0.25">
      <c r="A431" s="2">
        <v>438</v>
      </c>
      <c r="B431" s="2" t="s">
        <v>40</v>
      </c>
      <c r="C431" s="2"/>
      <c r="D431" s="2"/>
      <c r="E431" s="2"/>
      <c r="F431" s="2"/>
      <c r="G431" s="2"/>
      <c r="H431" s="2"/>
      <c r="I431" s="2"/>
      <c r="J431" s="2"/>
      <c r="K431" s="451"/>
      <c r="L431" s="451"/>
      <c r="M431" s="451"/>
      <c r="N431" s="451"/>
      <c r="O431" s="451"/>
      <c r="P431" s="177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 t="str">
        <f t="shared" si="6"/>
        <v>NCL</v>
      </c>
    </row>
    <row r="432" spans="1:39" x14ac:dyDescent="0.25">
      <c r="A432">
        <v>439</v>
      </c>
      <c r="B432" t="s">
        <v>41</v>
      </c>
      <c r="P432" s="176"/>
      <c r="AM432" t="str">
        <f t="shared" si="6"/>
        <v>CL</v>
      </c>
    </row>
    <row r="433" spans="1:39" x14ac:dyDescent="0.25">
      <c r="A433">
        <v>440</v>
      </c>
      <c r="B433" t="s">
        <v>42</v>
      </c>
      <c r="P433" s="176"/>
      <c r="AM433" t="str">
        <f t="shared" si="6"/>
        <v>ACL</v>
      </c>
    </row>
    <row r="434" spans="1:39" x14ac:dyDescent="0.25">
      <c r="A434">
        <v>441</v>
      </c>
      <c r="B434" t="s">
        <v>43</v>
      </c>
      <c r="P434" s="176"/>
      <c r="AM434" t="str">
        <f t="shared" si="6"/>
        <v>SPCL</v>
      </c>
    </row>
    <row r="435" spans="1:39" x14ac:dyDescent="0.25">
      <c r="A435">
        <v>442</v>
      </c>
      <c r="B435" s="1" t="s">
        <v>44</v>
      </c>
      <c r="C435" s="1"/>
      <c r="D435" s="1"/>
      <c r="E435" s="1"/>
      <c r="F435" s="1"/>
      <c r="G435" s="1"/>
      <c r="H435" s="1"/>
      <c r="I435" s="1"/>
      <c r="J435" s="1"/>
      <c r="K435" s="452"/>
      <c r="L435" s="452"/>
      <c r="M435" s="452"/>
      <c r="N435" s="452"/>
      <c r="O435" s="452"/>
      <c r="P435" s="178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 t="str">
        <f t="shared" si="6"/>
        <v>SPACL</v>
      </c>
    </row>
    <row r="436" spans="1:39" x14ac:dyDescent="0.25">
      <c r="A436" s="2">
        <v>443</v>
      </c>
      <c r="B436" s="2" t="s">
        <v>40</v>
      </c>
      <c r="C436" s="2"/>
      <c r="D436" s="2"/>
      <c r="E436" s="2"/>
      <c r="F436" s="2"/>
      <c r="G436" s="2"/>
      <c r="H436" s="2"/>
      <c r="I436" s="2"/>
      <c r="J436" s="2"/>
      <c r="K436" s="451"/>
      <c r="L436" s="451"/>
      <c r="M436" s="451"/>
      <c r="N436" s="451"/>
      <c r="O436" s="451"/>
      <c r="P436" s="177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 t="str">
        <f t="shared" si="6"/>
        <v>NCL</v>
      </c>
    </row>
    <row r="437" spans="1:39" x14ac:dyDescent="0.25">
      <c r="A437">
        <v>444</v>
      </c>
      <c r="B437" t="s">
        <v>41</v>
      </c>
      <c r="P437" s="176"/>
      <c r="AM437" t="str">
        <f t="shared" si="6"/>
        <v>CL</v>
      </c>
    </row>
    <row r="438" spans="1:39" x14ac:dyDescent="0.25">
      <c r="A438">
        <v>445</v>
      </c>
      <c r="B438" t="s">
        <v>42</v>
      </c>
      <c r="P438" s="176"/>
      <c r="AM438" t="str">
        <f t="shared" si="6"/>
        <v>ACL</v>
      </c>
    </row>
    <row r="439" spans="1:39" x14ac:dyDescent="0.25">
      <c r="A439">
        <v>446</v>
      </c>
      <c r="B439" t="s">
        <v>43</v>
      </c>
      <c r="P439" s="176"/>
      <c r="AM439" t="str">
        <f t="shared" si="6"/>
        <v>SPCL</v>
      </c>
    </row>
    <row r="440" spans="1:39" x14ac:dyDescent="0.25">
      <c r="A440">
        <v>447</v>
      </c>
      <c r="B440" s="1" t="s">
        <v>44</v>
      </c>
      <c r="C440" s="1"/>
      <c r="D440" s="1"/>
      <c r="E440" s="1"/>
      <c r="F440" s="1"/>
      <c r="G440" s="1"/>
      <c r="H440" s="1"/>
      <c r="I440" s="1"/>
      <c r="J440" s="1"/>
      <c r="K440" s="452"/>
      <c r="L440" s="452"/>
      <c r="M440" s="452"/>
      <c r="N440" s="452"/>
      <c r="O440" s="452"/>
      <c r="P440" s="178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 t="str">
        <f t="shared" si="6"/>
        <v>SPACL</v>
      </c>
    </row>
    <row r="441" spans="1:39" x14ac:dyDescent="0.25">
      <c r="A441" s="2">
        <v>448</v>
      </c>
      <c r="B441" s="2" t="s">
        <v>40</v>
      </c>
      <c r="C441" s="2"/>
      <c r="D441" s="2"/>
      <c r="E441" s="2"/>
      <c r="F441" s="2"/>
      <c r="G441" s="2"/>
      <c r="H441" s="2"/>
      <c r="I441" s="2"/>
      <c r="J441" s="2"/>
      <c r="K441" s="451"/>
      <c r="L441" s="451"/>
      <c r="M441" s="451"/>
      <c r="N441" s="451"/>
      <c r="O441" s="451"/>
      <c r="P441" s="177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 t="str">
        <f t="shared" si="6"/>
        <v>NCL</v>
      </c>
    </row>
    <row r="442" spans="1:39" x14ac:dyDescent="0.25">
      <c r="A442">
        <v>449</v>
      </c>
      <c r="B442" t="s">
        <v>41</v>
      </c>
      <c r="P442" s="176"/>
      <c r="AM442" t="str">
        <f t="shared" ref="AM442:AM505" si="7">_xlfn.CONCAT(B442,AL442)</f>
        <v>CL</v>
      </c>
    </row>
    <row r="443" spans="1:39" x14ac:dyDescent="0.25">
      <c r="A443">
        <v>450</v>
      </c>
      <c r="B443" t="s">
        <v>42</v>
      </c>
      <c r="P443" s="176"/>
      <c r="AM443" t="str">
        <f t="shared" si="7"/>
        <v>ACL</v>
      </c>
    </row>
    <row r="444" spans="1:39" x14ac:dyDescent="0.25">
      <c r="A444">
        <v>451</v>
      </c>
      <c r="B444" t="s">
        <v>43</v>
      </c>
      <c r="P444" s="176"/>
      <c r="AM444" t="str">
        <f t="shared" si="7"/>
        <v>SPCL</v>
      </c>
    </row>
    <row r="445" spans="1:39" x14ac:dyDescent="0.25">
      <c r="A445">
        <v>452</v>
      </c>
      <c r="B445" s="1" t="s">
        <v>44</v>
      </c>
      <c r="C445" s="1"/>
      <c r="D445" s="1"/>
      <c r="E445" s="1"/>
      <c r="F445" s="1"/>
      <c r="G445" s="1"/>
      <c r="H445" s="1"/>
      <c r="I445" s="1"/>
      <c r="J445" s="1"/>
      <c r="K445" s="452"/>
      <c r="L445" s="452"/>
      <c r="M445" s="452"/>
      <c r="N445" s="452"/>
      <c r="O445" s="452"/>
      <c r="P445" s="178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 t="str">
        <f t="shared" si="7"/>
        <v>SPACL</v>
      </c>
    </row>
    <row r="446" spans="1:39" x14ac:dyDescent="0.25">
      <c r="A446" s="2">
        <v>453</v>
      </c>
      <c r="B446" s="2" t="s">
        <v>40</v>
      </c>
      <c r="C446" s="2"/>
      <c r="D446" s="2"/>
      <c r="E446" s="2"/>
      <c r="F446" s="2"/>
      <c r="G446" s="2"/>
      <c r="H446" s="2"/>
      <c r="I446" s="2"/>
      <c r="J446" s="2"/>
      <c r="K446" s="451"/>
      <c r="L446" s="451"/>
      <c r="M446" s="451"/>
      <c r="N446" s="451"/>
      <c r="O446" s="451"/>
      <c r="P446" s="177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 t="str">
        <f t="shared" si="7"/>
        <v>NCL</v>
      </c>
    </row>
    <row r="447" spans="1:39" x14ac:dyDescent="0.25">
      <c r="A447">
        <v>454</v>
      </c>
      <c r="B447" t="s">
        <v>41</v>
      </c>
      <c r="P447" s="176"/>
      <c r="AM447" t="str">
        <f t="shared" si="7"/>
        <v>CL</v>
      </c>
    </row>
    <row r="448" spans="1:39" x14ac:dyDescent="0.25">
      <c r="A448">
        <v>455</v>
      </c>
      <c r="B448" t="s">
        <v>42</v>
      </c>
      <c r="P448" s="176"/>
      <c r="AM448" t="str">
        <f t="shared" si="7"/>
        <v>ACL</v>
      </c>
    </row>
    <row r="449" spans="1:39" x14ac:dyDescent="0.25">
      <c r="A449">
        <v>456</v>
      </c>
      <c r="B449" t="s">
        <v>43</v>
      </c>
      <c r="P449" s="176"/>
      <c r="AM449" t="str">
        <f t="shared" si="7"/>
        <v>SPCL</v>
      </c>
    </row>
    <row r="450" spans="1:39" x14ac:dyDescent="0.25">
      <c r="A450">
        <v>457</v>
      </c>
      <c r="B450" s="1" t="s">
        <v>44</v>
      </c>
      <c r="C450" s="1"/>
      <c r="D450" s="1"/>
      <c r="E450" s="1"/>
      <c r="F450" s="1"/>
      <c r="G450" s="1"/>
      <c r="H450" s="1"/>
      <c r="I450" s="1"/>
      <c r="J450" s="1"/>
      <c r="K450" s="452"/>
      <c r="L450" s="452"/>
      <c r="M450" s="452"/>
      <c r="N450" s="452"/>
      <c r="O450" s="452"/>
      <c r="P450" s="178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 t="str">
        <f t="shared" si="7"/>
        <v>SPACL</v>
      </c>
    </row>
    <row r="451" spans="1:39" x14ac:dyDescent="0.25">
      <c r="A451" s="2">
        <v>458</v>
      </c>
      <c r="B451" s="2" t="s">
        <v>40</v>
      </c>
      <c r="C451" s="2"/>
      <c r="D451" s="2"/>
      <c r="E451" s="2"/>
      <c r="F451" s="2"/>
      <c r="G451" s="2"/>
      <c r="H451" s="2"/>
      <c r="I451" s="2"/>
      <c r="J451" s="2"/>
      <c r="K451" s="451"/>
      <c r="L451" s="451"/>
      <c r="M451" s="451"/>
      <c r="N451" s="451"/>
      <c r="O451" s="451"/>
      <c r="P451" s="177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 t="str">
        <f t="shared" si="7"/>
        <v>NCL</v>
      </c>
    </row>
    <row r="452" spans="1:39" x14ac:dyDescent="0.25">
      <c r="A452">
        <v>459</v>
      </c>
      <c r="B452" t="s">
        <v>41</v>
      </c>
      <c r="P452" s="176"/>
      <c r="AM452" t="str">
        <f t="shared" si="7"/>
        <v>CL</v>
      </c>
    </row>
    <row r="453" spans="1:39" x14ac:dyDescent="0.25">
      <c r="A453">
        <v>460</v>
      </c>
      <c r="B453" t="s">
        <v>42</v>
      </c>
      <c r="P453" s="176"/>
      <c r="AM453" t="str">
        <f t="shared" si="7"/>
        <v>ACL</v>
      </c>
    </row>
    <row r="454" spans="1:39" x14ac:dyDescent="0.25">
      <c r="A454">
        <v>461</v>
      </c>
      <c r="B454" t="s">
        <v>43</v>
      </c>
      <c r="P454" s="176"/>
      <c r="AM454" t="str">
        <f t="shared" si="7"/>
        <v>SPCL</v>
      </c>
    </row>
    <row r="455" spans="1:39" x14ac:dyDescent="0.25">
      <c r="A455">
        <v>462</v>
      </c>
      <c r="B455" s="1" t="s">
        <v>44</v>
      </c>
      <c r="C455" s="1"/>
      <c r="D455" s="1"/>
      <c r="E455" s="1"/>
      <c r="F455" s="1"/>
      <c r="G455" s="1"/>
      <c r="H455" s="1"/>
      <c r="I455" s="1"/>
      <c r="J455" s="1"/>
      <c r="K455" s="452"/>
      <c r="L455" s="452"/>
      <c r="M455" s="452"/>
      <c r="N455" s="452"/>
      <c r="O455" s="452"/>
      <c r="P455" s="178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 t="str">
        <f t="shared" si="7"/>
        <v>SPACL</v>
      </c>
    </row>
    <row r="456" spans="1:39" x14ac:dyDescent="0.25">
      <c r="A456" s="2">
        <v>463</v>
      </c>
      <c r="B456" s="2" t="s">
        <v>40</v>
      </c>
      <c r="C456" s="2"/>
      <c r="D456" s="2"/>
      <c r="E456" s="2"/>
      <c r="F456" s="2"/>
      <c r="G456" s="2"/>
      <c r="H456" s="2"/>
      <c r="I456" s="2"/>
      <c r="J456" s="2"/>
      <c r="K456" s="451"/>
      <c r="L456" s="451"/>
      <c r="M456" s="451"/>
      <c r="N456" s="451"/>
      <c r="O456" s="451"/>
      <c r="P456" s="177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 t="str">
        <f t="shared" si="7"/>
        <v>NCL</v>
      </c>
    </row>
    <row r="457" spans="1:39" x14ac:dyDescent="0.25">
      <c r="A457">
        <v>464</v>
      </c>
      <c r="B457" t="s">
        <v>41</v>
      </c>
      <c r="P457" s="176"/>
      <c r="AM457" t="str">
        <f t="shared" si="7"/>
        <v>CL</v>
      </c>
    </row>
    <row r="458" spans="1:39" x14ac:dyDescent="0.25">
      <c r="A458">
        <v>465</v>
      </c>
      <c r="B458" t="s">
        <v>42</v>
      </c>
      <c r="P458" s="176"/>
      <c r="AM458" t="str">
        <f t="shared" si="7"/>
        <v>ACL</v>
      </c>
    </row>
    <row r="459" spans="1:39" x14ac:dyDescent="0.25">
      <c r="A459">
        <v>466</v>
      </c>
      <c r="B459" t="s">
        <v>43</v>
      </c>
      <c r="P459" s="176"/>
      <c r="AM459" t="str">
        <f t="shared" si="7"/>
        <v>SPCL</v>
      </c>
    </row>
    <row r="460" spans="1:39" x14ac:dyDescent="0.25">
      <c r="A460">
        <v>467</v>
      </c>
      <c r="B460" s="1" t="s">
        <v>44</v>
      </c>
      <c r="C460" s="1"/>
      <c r="D460" s="1"/>
      <c r="E460" s="1"/>
      <c r="F460" s="1"/>
      <c r="G460" s="1"/>
      <c r="H460" s="1"/>
      <c r="I460" s="1"/>
      <c r="J460" s="1"/>
      <c r="K460" s="452"/>
      <c r="L460" s="452"/>
      <c r="M460" s="452"/>
      <c r="N460" s="452"/>
      <c r="O460" s="452"/>
      <c r="P460" s="178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 t="str">
        <f t="shared" si="7"/>
        <v>SPACL</v>
      </c>
    </row>
    <row r="461" spans="1:39" x14ac:dyDescent="0.25">
      <c r="A461" s="2">
        <v>468</v>
      </c>
      <c r="B461" s="2" t="s">
        <v>40</v>
      </c>
      <c r="C461" s="2"/>
      <c r="D461" s="2"/>
      <c r="E461" s="2"/>
      <c r="F461" s="2"/>
      <c r="G461" s="2"/>
      <c r="H461" s="2"/>
      <c r="I461" s="2"/>
      <c r="J461" s="2"/>
      <c r="K461" s="451"/>
      <c r="L461" s="451"/>
      <c r="M461" s="451"/>
      <c r="N461" s="451"/>
      <c r="O461" s="451"/>
      <c r="P461" s="177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 t="str">
        <f t="shared" si="7"/>
        <v>NCL</v>
      </c>
    </row>
    <row r="462" spans="1:39" x14ac:dyDescent="0.25">
      <c r="A462">
        <v>469</v>
      </c>
      <c r="B462" t="s">
        <v>41</v>
      </c>
      <c r="P462" s="176"/>
      <c r="AM462" t="str">
        <f t="shared" si="7"/>
        <v>CL</v>
      </c>
    </row>
    <row r="463" spans="1:39" x14ac:dyDescent="0.25">
      <c r="A463">
        <v>470</v>
      </c>
      <c r="B463" t="s">
        <v>42</v>
      </c>
      <c r="P463" s="176"/>
      <c r="AM463" t="str">
        <f t="shared" si="7"/>
        <v>ACL</v>
      </c>
    </row>
    <row r="464" spans="1:39" x14ac:dyDescent="0.25">
      <c r="A464">
        <v>471</v>
      </c>
      <c r="B464" t="s">
        <v>43</v>
      </c>
      <c r="P464" s="176"/>
      <c r="AM464" t="str">
        <f t="shared" si="7"/>
        <v>SPCL</v>
      </c>
    </row>
    <row r="465" spans="1:39" x14ac:dyDescent="0.25">
      <c r="A465">
        <v>472</v>
      </c>
      <c r="B465" s="1" t="s">
        <v>44</v>
      </c>
      <c r="C465" s="1"/>
      <c r="D465" s="1"/>
      <c r="E465" s="1"/>
      <c r="F465" s="1"/>
      <c r="G465" s="1"/>
      <c r="H465" s="1"/>
      <c r="I465" s="1"/>
      <c r="J465" s="1"/>
      <c r="K465" s="452"/>
      <c r="L465" s="452"/>
      <c r="M465" s="452"/>
      <c r="N465" s="452"/>
      <c r="O465" s="452"/>
      <c r="P465" s="178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 t="str">
        <f t="shared" si="7"/>
        <v>SPACL</v>
      </c>
    </row>
    <row r="466" spans="1:39" x14ac:dyDescent="0.25">
      <c r="A466" s="2">
        <v>473</v>
      </c>
      <c r="B466" s="2" t="s">
        <v>40</v>
      </c>
      <c r="C466" s="2"/>
      <c r="D466" s="2"/>
      <c r="E466" s="2"/>
      <c r="F466" s="2"/>
      <c r="G466" s="2"/>
      <c r="H466" s="2"/>
      <c r="I466" s="2"/>
      <c r="J466" s="2"/>
      <c r="K466" s="451"/>
      <c r="L466" s="451"/>
      <c r="M466" s="451"/>
      <c r="N466" s="451"/>
      <c r="O466" s="451"/>
      <c r="P466" s="177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 t="str">
        <f t="shared" si="7"/>
        <v>NCL</v>
      </c>
    </row>
    <row r="467" spans="1:39" x14ac:dyDescent="0.25">
      <c r="A467">
        <v>474</v>
      </c>
      <c r="B467" t="s">
        <v>41</v>
      </c>
      <c r="P467" s="176"/>
      <c r="AM467" t="str">
        <f t="shared" si="7"/>
        <v>CL</v>
      </c>
    </row>
    <row r="468" spans="1:39" x14ac:dyDescent="0.25">
      <c r="A468">
        <v>475</v>
      </c>
      <c r="B468" t="s">
        <v>42</v>
      </c>
      <c r="P468" s="176"/>
      <c r="AM468" t="str">
        <f t="shared" si="7"/>
        <v>ACL</v>
      </c>
    </row>
    <row r="469" spans="1:39" x14ac:dyDescent="0.25">
      <c r="A469">
        <v>476</v>
      </c>
      <c r="B469" t="s">
        <v>43</v>
      </c>
      <c r="P469" s="176"/>
      <c r="AM469" t="str">
        <f t="shared" si="7"/>
        <v>SPCL</v>
      </c>
    </row>
    <row r="470" spans="1:39" x14ac:dyDescent="0.25">
      <c r="A470">
        <v>477</v>
      </c>
      <c r="B470" s="1" t="s">
        <v>44</v>
      </c>
      <c r="C470" s="1"/>
      <c r="D470" s="1"/>
      <c r="E470" s="1"/>
      <c r="F470" s="1"/>
      <c r="G470" s="1"/>
      <c r="H470" s="1"/>
      <c r="I470" s="1"/>
      <c r="J470" s="1"/>
      <c r="K470" s="452"/>
      <c r="L470" s="452"/>
      <c r="M470" s="452"/>
      <c r="N470" s="452"/>
      <c r="O470" s="452"/>
      <c r="P470" s="178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 t="str">
        <f t="shared" si="7"/>
        <v>SPACL</v>
      </c>
    </row>
    <row r="471" spans="1:39" x14ac:dyDescent="0.25">
      <c r="A471" s="2">
        <v>478</v>
      </c>
      <c r="B471" s="2" t="s">
        <v>40</v>
      </c>
      <c r="C471" s="2"/>
      <c r="D471" s="2"/>
      <c r="E471" s="2"/>
      <c r="F471" s="2"/>
      <c r="G471" s="2"/>
      <c r="H471" s="2"/>
      <c r="I471" s="2"/>
      <c r="J471" s="2"/>
      <c r="K471" s="451"/>
      <c r="L471" s="451"/>
      <c r="M471" s="451"/>
      <c r="N471" s="451"/>
      <c r="O471" s="451"/>
      <c r="P471" s="177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 t="str">
        <f t="shared" si="7"/>
        <v>NCL</v>
      </c>
    </row>
    <row r="472" spans="1:39" x14ac:dyDescent="0.25">
      <c r="A472">
        <v>479</v>
      </c>
      <c r="B472" t="s">
        <v>41</v>
      </c>
      <c r="P472" s="176"/>
      <c r="AM472" t="str">
        <f t="shared" si="7"/>
        <v>CL</v>
      </c>
    </row>
    <row r="473" spans="1:39" x14ac:dyDescent="0.25">
      <c r="A473">
        <v>480</v>
      </c>
      <c r="B473" t="s">
        <v>42</v>
      </c>
      <c r="P473" s="176"/>
      <c r="AM473" t="str">
        <f t="shared" si="7"/>
        <v>ACL</v>
      </c>
    </row>
    <row r="474" spans="1:39" x14ac:dyDescent="0.25">
      <c r="A474">
        <v>481</v>
      </c>
      <c r="B474" t="s">
        <v>43</v>
      </c>
      <c r="P474" s="176"/>
      <c r="AM474" t="str">
        <f t="shared" si="7"/>
        <v>SPCL</v>
      </c>
    </row>
    <row r="475" spans="1:39" x14ac:dyDescent="0.25">
      <c r="A475">
        <v>482</v>
      </c>
      <c r="B475" s="1" t="s">
        <v>44</v>
      </c>
      <c r="C475" s="1"/>
      <c r="D475" s="1"/>
      <c r="E475" s="1"/>
      <c r="F475" s="1"/>
      <c r="G475" s="1"/>
      <c r="H475" s="1"/>
      <c r="I475" s="1"/>
      <c r="J475" s="1"/>
      <c r="K475" s="452"/>
      <c r="L475" s="452"/>
      <c r="M475" s="452"/>
      <c r="N475" s="452"/>
      <c r="O475" s="452"/>
      <c r="P475" s="178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 t="str">
        <f t="shared" si="7"/>
        <v>SPACL</v>
      </c>
    </row>
    <row r="476" spans="1:39" x14ac:dyDescent="0.25">
      <c r="A476" s="2">
        <v>483</v>
      </c>
      <c r="B476" s="2" t="s">
        <v>40</v>
      </c>
      <c r="C476" s="2"/>
      <c r="D476" s="2"/>
      <c r="E476" s="2"/>
      <c r="F476" s="2"/>
      <c r="G476" s="2"/>
      <c r="H476" s="2"/>
      <c r="I476" s="2"/>
      <c r="J476" s="2"/>
      <c r="K476" s="451"/>
      <c r="L476" s="451"/>
      <c r="M476" s="451"/>
      <c r="N476" s="451"/>
      <c r="O476" s="451"/>
      <c r="P476" s="177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 t="str">
        <f t="shared" si="7"/>
        <v>NCL</v>
      </c>
    </row>
    <row r="477" spans="1:39" x14ac:dyDescent="0.25">
      <c r="A477">
        <v>484</v>
      </c>
      <c r="B477" t="s">
        <v>41</v>
      </c>
      <c r="P477" s="176"/>
      <c r="AM477" t="str">
        <f t="shared" si="7"/>
        <v>CL</v>
      </c>
    </row>
    <row r="478" spans="1:39" x14ac:dyDescent="0.25">
      <c r="A478">
        <v>485</v>
      </c>
      <c r="B478" t="s">
        <v>42</v>
      </c>
      <c r="P478" s="176"/>
      <c r="AM478" t="str">
        <f t="shared" si="7"/>
        <v>ACL</v>
      </c>
    </row>
    <row r="479" spans="1:39" x14ac:dyDescent="0.25">
      <c r="A479">
        <v>486</v>
      </c>
      <c r="B479" t="s">
        <v>43</v>
      </c>
      <c r="P479" s="176"/>
      <c r="AM479" t="str">
        <f t="shared" si="7"/>
        <v>SPCL</v>
      </c>
    </row>
    <row r="480" spans="1:39" x14ac:dyDescent="0.25">
      <c r="A480">
        <v>487</v>
      </c>
      <c r="B480" s="1" t="s">
        <v>44</v>
      </c>
      <c r="C480" s="1"/>
      <c r="D480" s="1"/>
      <c r="E480" s="1"/>
      <c r="F480" s="1"/>
      <c r="G480" s="1"/>
      <c r="H480" s="1"/>
      <c r="I480" s="1"/>
      <c r="J480" s="1"/>
      <c r="K480" s="452"/>
      <c r="L480" s="452"/>
      <c r="M480" s="452"/>
      <c r="N480" s="452"/>
      <c r="O480" s="452"/>
      <c r="P480" s="178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 t="str">
        <f t="shared" si="7"/>
        <v>SPACL</v>
      </c>
    </row>
    <row r="481" spans="1:39" x14ac:dyDescent="0.25">
      <c r="A481" s="2">
        <v>488</v>
      </c>
      <c r="B481" s="2" t="s">
        <v>40</v>
      </c>
      <c r="C481" s="2"/>
      <c r="D481" s="2"/>
      <c r="E481" s="2"/>
      <c r="F481" s="2"/>
      <c r="G481" s="2"/>
      <c r="H481" s="2"/>
      <c r="I481" s="2"/>
      <c r="J481" s="2"/>
      <c r="K481" s="451"/>
      <c r="L481" s="451"/>
      <c r="M481" s="451"/>
      <c r="N481" s="451"/>
      <c r="O481" s="451"/>
      <c r="P481" s="177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 t="str">
        <f t="shared" si="7"/>
        <v>NCL</v>
      </c>
    </row>
    <row r="482" spans="1:39" x14ac:dyDescent="0.25">
      <c r="A482">
        <v>489</v>
      </c>
      <c r="B482" t="s">
        <v>41</v>
      </c>
      <c r="P482" s="176"/>
      <c r="AM482" t="str">
        <f t="shared" si="7"/>
        <v>CL</v>
      </c>
    </row>
    <row r="483" spans="1:39" x14ac:dyDescent="0.25">
      <c r="A483">
        <v>490</v>
      </c>
      <c r="B483" t="s">
        <v>42</v>
      </c>
      <c r="P483" s="176"/>
      <c r="AM483" t="str">
        <f t="shared" si="7"/>
        <v>ACL</v>
      </c>
    </row>
    <row r="484" spans="1:39" x14ac:dyDescent="0.25">
      <c r="A484">
        <v>491</v>
      </c>
      <c r="B484" t="s">
        <v>43</v>
      </c>
      <c r="P484" s="176"/>
      <c r="AM484" t="str">
        <f t="shared" si="7"/>
        <v>SPCL</v>
      </c>
    </row>
    <row r="485" spans="1:39" x14ac:dyDescent="0.25">
      <c r="A485">
        <v>492</v>
      </c>
      <c r="B485" s="1" t="s">
        <v>44</v>
      </c>
      <c r="C485" s="1"/>
      <c r="D485" s="1"/>
      <c r="E485" s="1"/>
      <c r="F485" s="1"/>
      <c r="G485" s="1"/>
      <c r="H485" s="1"/>
      <c r="I485" s="1"/>
      <c r="J485" s="1"/>
      <c r="K485" s="452"/>
      <c r="L485" s="452"/>
      <c r="M485" s="452"/>
      <c r="N485" s="452"/>
      <c r="O485" s="452"/>
      <c r="P485" s="178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 t="str">
        <f t="shared" si="7"/>
        <v>SPACL</v>
      </c>
    </row>
    <row r="486" spans="1:39" x14ac:dyDescent="0.25">
      <c r="A486" s="2">
        <v>493</v>
      </c>
      <c r="B486" s="2" t="s">
        <v>40</v>
      </c>
      <c r="C486" s="2"/>
      <c r="D486" s="2"/>
      <c r="E486" s="2"/>
      <c r="F486" s="2"/>
      <c r="G486" s="2"/>
      <c r="H486" s="2"/>
      <c r="I486" s="2"/>
      <c r="J486" s="2"/>
      <c r="K486" s="451"/>
      <c r="L486" s="451"/>
      <c r="M486" s="451"/>
      <c r="N486" s="451"/>
      <c r="O486" s="451"/>
      <c r="P486" s="177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 t="str">
        <f t="shared" si="7"/>
        <v>NCL</v>
      </c>
    </row>
    <row r="487" spans="1:39" x14ac:dyDescent="0.25">
      <c r="A487">
        <v>494</v>
      </c>
      <c r="B487" t="s">
        <v>41</v>
      </c>
      <c r="P487" s="176"/>
      <c r="AM487" t="str">
        <f t="shared" si="7"/>
        <v>CL</v>
      </c>
    </row>
    <row r="488" spans="1:39" x14ac:dyDescent="0.25">
      <c r="A488">
        <v>495</v>
      </c>
      <c r="B488" t="s">
        <v>42</v>
      </c>
      <c r="P488" s="176"/>
      <c r="AM488" t="str">
        <f t="shared" si="7"/>
        <v>ACL</v>
      </c>
    </row>
    <row r="489" spans="1:39" x14ac:dyDescent="0.25">
      <c r="A489">
        <v>496</v>
      </c>
      <c r="B489" t="s">
        <v>43</v>
      </c>
      <c r="P489" s="176"/>
      <c r="AM489" t="str">
        <f t="shared" si="7"/>
        <v>SPCL</v>
      </c>
    </row>
    <row r="490" spans="1:39" x14ac:dyDescent="0.25">
      <c r="A490">
        <v>497</v>
      </c>
      <c r="B490" s="1" t="s">
        <v>44</v>
      </c>
      <c r="C490" s="1"/>
      <c r="D490" s="1"/>
      <c r="E490" s="1"/>
      <c r="F490" s="1"/>
      <c r="G490" s="1"/>
      <c r="H490" s="1"/>
      <c r="I490" s="1"/>
      <c r="J490" s="1"/>
      <c r="K490" s="452"/>
      <c r="L490" s="452"/>
      <c r="M490" s="452"/>
      <c r="N490" s="452"/>
      <c r="O490" s="452"/>
      <c r="P490" s="178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 t="str">
        <f t="shared" si="7"/>
        <v>SPACL</v>
      </c>
    </row>
    <row r="491" spans="1:39" x14ac:dyDescent="0.25">
      <c r="A491" s="2">
        <v>498</v>
      </c>
      <c r="B491" s="2" t="s">
        <v>40</v>
      </c>
      <c r="C491" s="2"/>
      <c r="D491" s="2"/>
      <c r="E491" s="2"/>
      <c r="F491" s="2"/>
      <c r="G491" s="2"/>
      <c r="H491" s="2"/>
      <c r="I491" s="2"/>
      <c r="J491" s="2"/>
      <c r="K491" s="451"/>
      <c r="L491" s="451"/>
      <c r="M491" s="451"/>
      <c r="N491" s="451"/>
      <c r="O491" s="451"/>
      <c r="P491" s="177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 t="str">
        <f t="shared" si="7"/>
        <v>NCL</v>
      </c>
    </row>
    <row r="492" spans="1:39" x14ac:dyDescent="0.25">
      <c r="A492">
        <v>499</v>
      </c>
      <c r="B492" t="s">
        <v>41</v>
      </c>
      <c r="P492" s="176"/>
      <c r="AM492" t="str">
        <f t="shared" si="7"/>
        <v>CL</v>
      </c>
    </row>
    <row r="493" spans="1:39" x14ac:dyDescent="0.25">
      <c r="A493">
        <v>500</v>
      </c>
      <c r="B493" t="s">
        <v>42</v>
      </c>
      <c r="P493" s="176"/>
      <c r="AM493" t="str">
        <f t="shared" si="7"/>
        <v>ACL</v>
      </c>
    </row>
    <row r="494" spans="1:39" x14ac:dyDescent="0.25">
      <c r="A494">
        <v>501</v>
      </c>
      <c r="B494" t="s">
        <v>43</v>
      </c>
      <c r="P494" s="176"/>
      <c r="AM494" t="str">
        <f t="shared" si="7"/>
        <v>SPCL</v>
      </c>
    </row>
    <row r="495" spans="1:39" x14ac:dyDescent="0.25">
      <c r="A495">
        <v>502</v>
      </c>
      <c r="B495" s="1" t="s">
        <v>44</v>
      </c>
      <c r="C495" s="1"/>
      <c r="D495" s="1"/>
      <c r="E495" s="1"/>
      <c r="F495" s="1"/>
      <c r="G495" s="1"/>
      <c r="H495" s="1"/>
      <c r="I495" s="1"/>
      <c r="J495" s="1"/>
      <c r="K495" s="452"/>
      <c r="L495" s="452"/>
      <c r="M495" s="452"/>
      <c r="N495" s="452"/>
      <c r="O495" s="452"/>
      <c r="P495" s="178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 t="str">
        <f t="shared" si="7"/>
        <v>SPACL</v>
      </c>
    </row>
    <row r="496" spans="1:39" x14ac:dyDescent="0.25">
      <c r="A496" s="2">
        <v>503</v>
      </c>
      <c r="B496" s="2" t="s">
        <v>40</v>
      </c>
      <c r="C496" s="2"/>
      <c r="D496" s="2"/>
      <c r="E496" s="2"/>
      <c r="F496" s="2"/>
      <c r="G496" s="2"/>
      <c r="H496" s="2"/>
      <c r="I496" s="2"/>
      <c r="J496" s="2"/>
      <c r="K496" s="451"/>
      <c r="L496" s="451"/>
      <c r="M496" s="451"/>
      <c r="N496" s="451"/>
      <c r="O496" s="451"/>
      <c r="P496" s="177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 t="str">
        <f t="shared" si="7"/>
        <v>NCL</v>
      </c>
    </row>
    <row r="497" spans="1:39" x14ac:dyDescent="0.25">
      <c r="A497">
        <v>504</v>
      </c>
      <c r="B497" t="s">
        <v>41</v>
      </c>
      <c r="P497" s="176"/>
      <c r="AM497" t="str">
        <f t="shared" si="7"/>
        <v>CL</v>
      </c>
    </row>
    <row r="498" spans="1:39" x14ac:dyDescent="0.25">
      <c r="A498">
        <v>505</v>
      </c>
      <c r="B498" t="s">
        <v>42</v>
      </c>
      <c r="P498" s="176"/>
      <c r="AM498" t="str">
        <f t="shared" si="7"/>
        <v>ACL</v>
      </c>
    </row>
    <row r="499" spans="1:39" x14ac:dyDescent="0.25">
      <c r="A499">
        <v>506</v>
      </c>
      <c r="B499" t="s">
        <v>43</v>
      </c>
      <c r="P499" s="176"/>
      <c r="AM499" t="str">
        <f t="shared" si="7"/>
        <v>SPCL</v>
      </c>
    </row>
    <row r="500" spans="1:39" x14ac:dyDescent="0.25">
      <c r="A500">
        <v>507</v>
      </c>
      <c r="B500" s="1" t="s">
        <v>44</v>
      </c>
      <c r="C500" s="1"/>
      <c r="D500" s="1"/>
      <c r="E500" s="1"/>
      <c r="F500" s="1"/>
      <c r="G500" s="1"/>
      <c r="H500" s="1"/>
      <c r="I500" s="1"/>
      <c r="J500" s="1"/>
      <c r="K500" s="452"/>
      <c r="L500" s="452"/>
      <c r="M500" s="452"/>
      <c r="N500" s="452"/>
      <c r="O500" s="452"/>
      <c r="P500" s="178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 t="str">
        <f t="shared" si="7"/>
        <v>SPACL</v>
      </c>
    </row>
    <row r="501" spans="1:39" x14ac:dyDescent="0.25">
      <c r="A501" s="2">
        <v>508</v>
      </c>
      <c r="B501" s="2" t="s">
        <v>40</v>
      </c>
      <c r="C501" s="2"/>
      <c r="D501" s="2"/>
      <c r="E501" s="2"/>
      <c r="F501" s="2"/>
      <c r="G501" s="2"/>
      <c r="H501" s="2"/>
      <c r="I501" s="2"/>
      <c r="J501" s="2"/>
      <c r="K501" s="451"/>
      <c r="L501" s="451"/>
      <c r="M501" s="451"/>
      <c r="N501" s="451"/>
      <c r="O501" s="451"/>
      <c r="P501" s="177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 t="str">
        <f t="shared" si="7"/>
        <v>NCL</v>
      </c>
    </row>
    <row r="502" spans="1:39" x14ac:dyDescent="0.25">
      <c r="A502">
        <v>509</v>
      </c>
      <c r="B502" t="s">
        <v>41</v>
      </c>
      <c r="P502" s="176"/>
      <c r="AM502" t="str">
        <f t="shared" si="7"/>
        <v>CL</v>
      </c>
    </row>
    <row r="503" spans="1:39" x14ac:dyDescent="0.25">
      <c r="A503">
        <v>510</v>
      </c>
      <c r="B503" t="s">
        <v>42</v>
      </c>
      <c r="P503" s="176"/>
      <c r="AM503" t="str">
        <f t="shared" si="7"/>
        <v>ACL</v>
      </c>
    </row>
    <row r="504" spans="1:39" x14ac:dyDescent="0.25">
      <c r="A504">
        <v>511</v>
      </c>
      <c r="B504" t="s">
        <v>43</v>
      </c>
      <c r="P504" s="176"/>
      <c r="AM504" t="str">
        <f t="shared" si="7"/>
        <v>SPCL</v>
      </c>
    </row>
    <row r="505" spans="1:39" x14ac:dyDescent="0.25">
      <c r="A505">
        <v>512</v>
      </c>
      <c r="B505" s="1" t="s">
        <v>44</v>
      </c>
      <c r="C505" s="1"/>
      <c r="D505" s="1"/>
      <c r="E505" s="1"/>
      <c r="F505" s="1"/>
      <c r="G505" s="1"/>
      <c r="H505" s="1"/>
      <c r="I505" s="1"/>
      <c r="J505" s="1"/>
      <c r="K505" s="452"/>
      <c r="L505" s="452"/>
      <c r="M505" s="452"/>
      <c r="N505" s="452"/>
      <c r="O505" s="452"/>
      <c r="P505" s="178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 t="str">
        <f t="shared" si="7"/>
        <v>SPACL</v>
      </c>
    </row>
    <row r="506" spans="1:39" x14ac:dyDescent="0.25">
      <c r="A506" s="2">
        <v>513</v>
      </c>
      <c r="B506" s="2" t="s">
        <v>40</v>
      </c>
      <c r="C506" s="2"/>
      <c r="D506" s="2"/>
      <c r="E506" s="2"/>
      <c r="F506" s="2"/>
      <c r="G506" s="2"/>
      <c r="H506" s="2"/>
      <c r="I506" s="2"/>
      <c r="J506" s="2"/>
      <c r="K506" s="451"/>
      <c r="L506" s="451"/>
      <c r="M506" s="451"/>
      <c r="N506" s="451"/>
      <c r="O506" s="451"/>
      <c r="P506" s="177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 t="str">
        <f t="shared" ref="AM506:AM569" si="8">_xlfn.CONCAT(B506,AL506)</f>
        <v>NCL</v>
      </c>
    </row>
    <row r="507" spans="1:39" x14ac:dyDescent="0.25">
      <c r="A507">
        <v>514</v>
      </c>
      <c r="B507" t="s">
        <v>41</v>
      </c>
      <c r="P507" s="176"/>
      <c r="AM507" t="str">
        <f t="shared" si="8"/>
        <v>CL</v>
      </c>
    </row>
    <row r="508" spans="1:39" x14ac:dyDescent="0.25">
      <c r="A508">
        <v>515</v>
      </c>
      <c r="B508" t="s">
        <v>42</v>
      </c>
      <c r="P508" s="176"/>
      <c r="AM508" t="str">
        <f t="shared" si="8"/>
        <v>ACL</v>
      </c>
    </row>
    <row r="509" spans="1:39" x14ac:dyDescent="0.25">
      <c r="A509">
        <v>516</v>
      </c>
      <c r="B509" t="s">
        <v>43</v>
      </c>
      <c r="P509" s="176"/>
      <c r="AM509" t="str">
        <f t="shared" si="8"/>
        <v>SPCL</v>
      </c>
    </row>
    <row r="510" spans="1:39" x14ac:dyDescent="0.25">
      <c r="A510">
        <v>517</v>
      </c>
      <c r="B510" s="1" t="s">
        <v>44</v>
      </c>
      <c r="C510" s="1"/>
      <c r="D510" s="1"/>
      <c r="E510" s="1"/>
      <c r="F510" s="1"/>
      <c r="G510" s="1"/>
      <c r="H510" s="1"/>
      <c r="I510" s="1"/>
      <c r="J510" s="1"/>
      <c r="K510" s="452"/>
      <c r="L510" s="452"/>
      <c r="M510" s="452"/>
      <c r="N510" s="452"/>
      <c r="O510" s="452"/>
      <c r="P510" s="178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 t="str">
        <f t="shared" si="8"/>
        <v>SPACL</v>
      </c>
    </row>
    <row r="511" spans="1:39" x14ac:dyDescent="0.25">
      <c r="A511" s="2">
        <v>518</v>
      </c>
      <c r="B511" s="2" t="s">
        <v>40</v>
      </c>
      <c r="C511" s="2"/>
      <c r="D511" s="2"/>
      <c r="E511" s="2"/>
      <c r="F511" s="2"/>
      <c r="G511" s="2"/>
      <c r="H511" s="2"/>
      <c r="I511" s="2"/>
      <c r="J511" s="2"/>
      <c r="K511" s="451"/>
      <c r="L511" s="451"/>
      <c r="M511" s="451"/>
      <c r="N511" s="451"/>
      <c r="O511" s="451"/>
      <c r="P511" s="177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 t="str">
        <f t="shared" si="8"/>
        <v>NCL</v>
      </c>
    </row>
    <row r="512" spans="1:39" x14ac:dyDescent="0.25">
      <c r="A512">
        <v>519</v>
      </c>
      <c r="B512" t="s">
        <v>41</v>
      </c>
      <c r="P512" s="176"/>
      <c r="AM512" t="str">
        <f t="shared" si="8"/>
        <v>CL</v>
      </c>
    </row>
    <row r="513" spans="1:39" x14ac:dyDescent="0.25">
      <c r="A513">
        <v>520</v>
      </c>
      <c r="B513" t="s">
        <v>42</v>
      </c>
      <c r="P513" s="176"/>
      <c r="AM513" t="str">
        <f t="shared" si="8"/>
        <v>ACL</v>
      </c>
    </row>
    <row r="514" spans="1:39" x14ac:dyDescent="0.25">
      <c r="A514">
        <v>521</v>
      </c>
      <c r="B514" t="s">
        <v>43</v>
      </c>
      <c r="P514" s="176"/>
      <c r="AM514" t="str">
        <f t="shared" si="8"/>
        <v>SPCL</v>
      </c>
    </row>
    <row r="515" spans="1:39" x14ac:dyDescent="0.25">
      <c r="A515">
        <v>522</v>
      </c>
      <c r="B515" s="1" t="s">
        <v>44</v>
      </c>
      <c r="C515" s="1"/>
      <c r="D515" s="1"/>
      <c r="E515" s="1"/>
      <c r="F515" s="1"/>
      <c r="G515" s="1"/>
      <c r="H515" s="1"/>
      <c r="I515" s="1"/>
      <c r="J515" s="1"/>
      <c r="K515" s="452"/>
      <c r="L515" s="452"/>
      <c r="M515" s="452"/>
      <c r="N515" s="452"/>
      <c r="O515" s="452"/>
      <c r="P515" s="178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 t="str">
        <f t="shared" si="8"/>
        <v>SPACL</v>
      </c>
    </row>
    <row r="516" spans="1:39" x14ac:dyDescent="0.25">
      <c r="A516" s="2">
        <v>523</v>
      </c>
      <c r="B516" s="2" t="s">
        <v>40</v>
      </c>
      <c r="C516" s="2"/>
      <c r="D516" s="2"/>
      <c r="E516" s="2"/>
      <c r="F516" s="2"/>
      <c r="G516" s="2"/>
      <c r="H516" s="2"/>
      <c r="I516" s="2"/>
      <c r="J516" s="2"/>
      <c r="K516" s="451"/>
      <c r="L516" s="451"/>
      <c r="M516" s="451"/>
      <c r="N516" s="451"/>
      <c r="O516" s="451"/>
      <c r="P516" s="177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 t="str">
        <f t="shared" si="8"/>
        <v>NCL</v>
      </c>
    </row>
    <row r="517" spans="1:39" x14ac:dyDescent="0.25">
      <c r="A517">
        <v>524</v>
      </c>
      <c r="B517" t="s">
        <v>41</v>
      </c>
      <c r="P517" s="176"/>
      <c r="AM517" t="str">
        <f t="shared" si="8"/>
        <v>CL</v>
      </c>
    </row>
    <row r="518" spans="1:39" x14ac:dyDescent="0.25">
      <c r="A518">
        <v>525</v>
      </c>
      <c r="B518" t="s">
        <v>42</v>
      </c>
      <c r="P518" s="176"/>
      <c r="AM518" t="str">
        <f t="shared" si="8"/>
        <v>ACL</v>
      </c>
    </row>
    <row r="519" spans="1:39" x14ac:dyDescent="0.25">
      <c r="A519">
        <v>526</v>
      </c>
      <c r="B519" t="s">
        <v>43</v>
      </c>
      <c r="P519" s="176"/>
      <c r="AM519" t="str">
        <f t="shared" si="8"/>
        <v>SPCL</v>
      </c>
    </row>
    <row r="520" spans="1:39" x14ac:dyDescent="0.25">
      <c r="A520">
        <v>527</v>
      </c>
      <c r="B520" s="1" t="s">
        <v>44</v>
      </c>
      <c r="C520" s="1"/>
      <c r="D520" s="1"/>
      <c r="E520" s="1"/>
      <c r="F520" s="1"/>
      <c r="G520" s="1"/>
      <c r="H520" s="1"/>
      <c r="I520" s="1"/>
      <c r="J520" s="1"/>
      <c r="K520" s="452"/>
      <c r="L520" s="452"/>
      <c r="M520" s="452"/>
      <c r="N520" s="452"/>
      <c r="O520" s="452"/>
      <c r="P520" s="178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 t="str">
        <f t="shared" si="8"/>
        <v>SPACL</v>
      </c>
    </row>
    <row r="521" spans="1:39" x14ac:dyDescent="0.25">
      <c r="A521" s="2">
        <v>528</v>
      </c>
      <c r="B521" s="2" t="s">
        <v>40</v>
      </c>
      <c r="C521" s="2"/>
      <c r="D521" s="2"/>
      <c r="E521" s="2"/>
      <c r="F521" s="2"/>
      <c r="G521" s="2"/>
      <c r="H521" s="2"/>
      <c r="I521" s="2"/>
      <c r="J521" s="2"/>
      <c r="K521" s="451"/>
      <c r="L521" s="451"/>
      <c r="M521" s="451"/>
      <c r="N521" s="451"/>
      <c r="O521" s="451"/>
      <c r="P521" s="177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 t="str">
        <f t="shared" si="8"/>
        <v>NCL</v>
      </c>
    </row>
    <row r="522" spans="1:39" x14ac:dyDescent="0.25">
      <c r="A522">
        <v>529</v>
      </c>
      <c r="B522" t="s">
        <v>41</v>
      </c>
      <c r="P522" s="176"/>
      <c r="AM522" t="str">
        <f t="shared" si="8"/>
        <v>CL</v>
      </c>
    </row>
    <row r="523" spans="1:39" x14ac:dyDescent="0.25">
      <c r="A523">
        <v>530</v>
      </c>
      <c r="B523" t="s">
        <v>42</v>
      </c>
      <c r="P523" s="176"/>
      <c r="AM523" t="str">
        <f t="shared" si="8"/>
        <v>ACL</v>
      </c>
    </row>
    <row r="524" spans="1:39" x14ac:dyDescent="0.25">
      <c r="A524">
        <v>531</v>
      </c>
      <c r="B524" t="s">
        <v>43</v>
      </c>
      <c r="P524" s="176"/>
      <c r="AM524" t="str">
        <f t="shared" si="8"/>
        <v>SPCL</v>
      </c>
    </row>
    <row r="525" spans="1:39" x14ac:dyDescent="0.25">
      <c r="A525">
        <v>532</v>
      </c>
      <c r="B525" s="1" t="s">
        <v>44</v>
      </c>
      <c r="C525" s="1"/>
      <c r="D525" s="1"/>
      <c r="E525" s="1"/>
      <c r="F525" s="1"/>
      <c r="G525" s="1"/>
      <c r="H525" s="1"/>
      <c r="I525" s="1"/>
      <c r="J525" s="1"/>
      <c r="K525" s="452"/>
      <c r="L525" s="452"/>
      <c r="M525" s="452"/>
      <c r="N525" s="452"/>
      <c r="O525" s="452"/>
      <c r="P525" s="178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 t="str">
        <f t="shared" si="8"/>
        <v>SPACL</v>
      </c>
    </row>
    <row r="526" spans="1:39" x14ac:dyDescent="0.25">
      <c r="A526" s="2">
        <v>533</v>
      </c>
      <c r="B526" s="2" t="s">
        <v>40</v>
      </c>
      <c r="C526" s="2"/>
      <c r="D526" s="2"/>
      <c r="E526" s="2"/>
      <c r="F526" s="2"/>
      <c r="G526" s="2"/>
      <c r="H526" s="2"/>
      <c r="I526" s="2"/>
      <c r="J526" s="2"/>
      <c r="K526" s="451"/>
      <c r="L526" s="451"/>
      <c r="M526" s="451"/>
      <c r="N526" s="451"/>
      <c r="O526" s="451"/>
      <c r="P526" s="177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 t="str">
        <f t="shared" si="8"/>
        <v>NCL</v>
      </c>
    </row>
    <row r="527" spans="1:39" x14ac:dyDescent="0.25">
      <c r="A527">
        <v>534</v>
      </c>
      <c r="B527" t="s">
        <v>41</v>
      </c>
      <c r="P527" s="176"/>
      <c r="AM527" t="str">
        <f t="shared" si="8"/>
        <v>CL</v>
      </c>
    </row>
    <row r="528" spans="1:39" x14ac:dyDescent="0.25">
      <c r="A528">
        <v>535</v>
      </c>
      <c r="B528" t="s">
        <v>42</v>
      </c>
      <c r="P528" s="176"/>
      <c r="AM528" t="str">
        <f t="shared" si="8"/>
        <v>ACL</v>
      </c>
    </row>
    <row r="529" spans="1:39" x14ac:dyDescent="0.25">
      <c r="A529">
        <v>536</v>
      </c>
      <c r="B529" t="s">
        <v>43</v>
      </c>
      <c r="P529" s="176"/>
      <c r="AM529" t="str">
        <f t="shared" si="8"/>
        <v>SPCL</v>
      </c>
    </row>
    <row r="530" spans="1:39" x14ac:dyDescent="0.25">
      <c r="A530">
        <v>537</v>
      </c>
      <c r="B530" s="1" t="s">
        <v>44</v>
      </c>
      <c r="C530" s="1"/>
      <c r="D530" s="1"/>
      <c r="E530" s="1"/>
      <c r="F530" s="1"/>
      <c r="G530" s="1"/>
      <c r="H530" s="1"/>
      <c r="I530" s="1"/>
      <c r="J530" s="1"/>
      <c r="K530" s="452"/>
      <c r="L530" s="452"/>
      <c r="M530" s="452"/>
      <c r="N530" s="452"/>
      <c r="O530" s="452"/>
      <c r="P530" s="178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 t="str">
        <f t="shared" si="8"/>
        <v>SPACL</v>
      </c>
    </row>
    <row r="531" spans="1:39" x14ac:dyDescent="0.25">
      <c r="A531" s="2">
        <v>538</v>
      </c>
      <c r="B531" s="2" t="s">
        <v>40</v>
      </c>
      <c r="C531" s="2"/>
      <c r="D531" s="2"/>
      <c r="E531" s="2"/>
      <c r="F531" s="2"/>
      <c r="G531" s="2"/>
      <c r="H531" s="2"/>
      <c r="I531" s="2"/>
      <c r="J531" s="2"/>
      <c r="K531" s="451"/>
      <c r="L531" s="451"/>
      <c r="M531" s="451"/>
      <c r="N531" s="451"/>
      <c r="O531" s="451"/>
      <c r="P531" s="177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 t="str">
        <f t="shared" si="8"/>
        <v>NCL</v>
      </c>
    </row>
    <row r="532" spans="1:39" x14ac:dyDescent="0.25">
      <c r="A532">
        <v>539</v>
      </c>
      <c r="B532" t="s">
        <v>41</v>
      </c>
      <c r="P532" s="176"/>
      <c r="AM532" t="str">
        <f t="shared" si="8"/>
        <v>CL</v>
      </c>
    </row>
    <row r="533" spans="1:39" x14ac:dyDescent="0.25">
      <c r="A533">
        <v>540</v>
      </c>
      <c r="B533" t="s">
        <v>42</v>
      </c>
      <c r="P533" s="176"/>
      <c r="AM533" t="str">
        <f t="shared" si="8"/>
        <v>ACL</v>
      </c>
    </row>
    <row r="534" spans="1:39" x14ac:dyDescent="0.25">
      <c r="A534">
        <v>541</v>
      </c>
      <c r="B534" t="s">
        <v>43</v>
      </c>
      <c r="P534" s="176"/>
      <c r="AM534" t="str">
        <f t="shared" si="8"/>
        <v>SPCL</v>
      </c>
    </row>
    <row r="535" spans="1:39" x14ac:dyDescent="0.25">
      <c r="A535">
        <v>542</v>
      </c>
      <c r="B535" s="1" t="s">
        <v>44</v>
      </c>
      <c r="C535" s="1"/>
      <c r="D535" s="1"/>
      <c r="E535" s="1"/>
      <c r="F535" s="1"/>
      <c r="G535" s="1"/>
      <c r="H535" s="1"/>
      <c r="I535" s="1"/>
      <c r="J535" s="1"/>
      <c r="K535" s="452"/>
      <c r="L535" s="452"/>
      <c r="M535" s="452"/>
      <c r="N535" s="452"/>
      <c r="O535" s="452"/>
      <c r="P535" s="178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 t="str">
        <f t="shared" si="8"/>
        <v>SPACL</v>
      </c>
    </row>
    <row r="536" spans="1:39" x14ac:dyDescent="0.25">
      <c r="A536" s="2">
        <v>543</v>
      </c>
      <c r="B536" s="2" t="s">
        <v>40</v>
      </c>
      <c r="C536" s="2"/>
      <c r="D536" s="2"/>
      <c r="E536" s="2"/>
      <c r="F536" s="2"/>
      <c r="G536" s="2"/>
      <c r="H536" s="2"/>
      <c r="I536" s="2"/>
      <c r="J536" s="2"/>
      <c r="K536" s="451"/>
      <c r="L536" s="451"/>
      <c r="M536" s="451"/>
      <c r="N536" s="451"/>
      <c r="O536" s="451"/>
      <c r="P536" s="177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 t="str">
        <f t="shared" si="8"/>
        <v>NCL</v>
      </c>
    </row>
    <row r="537" spans="1:39" x14ac:dyDescent="0.25">
      <c r="A537">
        <v>544</v>
      </c>
      <c r="B537" t="s">
        <v>41</v>
      </c>
      <c r="P537" s="176"/>
      <c r="AM537" t="str">
        <f t="shared" si="8"/>
        <v>CL</v>
      </c>
    </row>
    <row r="538" spans="1:39" x14ac:dyDescent="0.25">
      <c r="A538">
        <v>545</v>
      </c>
      <c r="B538" t="s">
        <v>42</v>
      </c>
      <c r="P538" s="176"/>
      <c r="AM538" t="str">
        <f t="shared" si="8"/>
        <v>ACL</v>
      </c>
    </row>
    <row r="539" spans="1:39" x14ac:dyDescent="0.25">
      <c r="A539">
        <v>546</v>
      </c>
      <c r="B539" t="s">
        <v>43</v>
      </c>
      <c r="P539" s="176"/>
      <c r="AM539" t="str">
        <f t="shared" si="8"/>
        <v>SPCL</v>
      </c>
    </row>
    <row r="540" spans="1:39" x14ac:dyDescent="0.25">
      <c r="A540">
        <v>547</v>
      </c>
      <c r="B540" s="1" t="s">
        <v>44</v>
      </c>
      <c r="C540" s="1"/>
      <c r="D540" s="1"/>
      <c r="E540" s="1"/>
      <c r="F540" s="1"/>
      <c r="G540" s="1"/>
      <c r="H540" s="1"/>
      <c r="I540" s="1"/>
      <c r="J540" s="1"/>
      <c r="K540" s="452"/>
      <c r="L540" s="452"/>
      <c r="M540" s="452"/>
      <c r="N540" s="452"/>
      <c r="O540" s="452"/>
      <c r="P540" s="178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 t="str">
        <f t="shared" si="8"/>
        <v>SPACL</v>
      </c>
    </row>
    <row r="541" spans="1:39" x14ac:dyDescent="0.25">
      <c r="A541" s="2">
        <v>548</v>
      </c>
      <c r="B541" s="2" t="s">
        <v>40</v>
      </c>
      <c r="C541" s="2"/>
      <c r="D541" s="2"/>
      <c r="E541" s="2"/>
      <c r="F541" s="2"/>
      <c r="G541" s="2"/>
      <c r="H541" s="2"/>
      <c r="I541" s="2"/>
      <c r="J541" s="2"/>
      <c r="K541" s="451"/>
      <c r="L541" s="451"/>
      <c r="M541" s="451"/>
      <c r="N541" s="451"/>
      <c r="O541" s="451"/>
      <c r="P541" s="177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 t="str">
        <f t="shared" si="8"/>
        <v>NCL</v>
      </c>
    </row>
    <row r="542" spans="1:39" x14ac:dyDescent="0.25">
      <c r="A542">
        <v>549</v>
      </c>
      <c r="B542" t="s">
        <v>41</v>
      </c>
      <c r="P542" s="176"/>
      <c r="AM542" t="str">
        <f t="shared" si="8"/>
        <v>CL</v>
      </c>
    </row>
    <row r="543" spans="1:39" x14ac:dyDescent="0.25">
      <c r="A543">
        <v>550</v>
      </c>
      <c r="B543" t="s">
        <v>42</v>
      </c>
      <c r="P543" s="176"/>
      <c r="AM543" t="str">
        <f t="shared" si="8"/>
        <v>ACL</v>
      </c>
    </row>
    <row r="544" spans="1:39" x14ac:dyDescent="0.25">
      <c r="A544">
        <v>551</v>
      </c>
      <c r="B544" t="s">
        <v>43</v>
      </c>
      <c r="P544" s="176"/>
      <c r="AM544" t="str">
        <f t="shared" si="8"/>
        <v>SPCL</v>
      </c>
    </row>
    <row r="545" spans="1:39" x14ac:dyDescent="0.25">
      <c r="A545">
        <v>552</v>
      </c>
      <c r="B545" s="1" t="s">
        <v>44</v>
      </c>
      <c r="C545" s="1"/>
      <c r="D545" s="1"/>
      <c r="E545" s="1"/>
      <c r="F545" s="1"/>
      <c r="G545" s="1"/>
      <c r="H545" s="1"/>
      <c r="I545" s="1"/>
      <c r="J545" s="1"/>
      <c r="K545" s="452"/>
      <c r="L545" s="452"/>
      <c r="M545" s="452"/>
      <c r="N545" s="452"/>
      <c r="O545" s="452"/>
      <c r="P545" s="178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 t="str">
        <f t="shared" si="8"/>
        <v>SPACL</v>
      </c>
    </row>
    <row r="546" spans="1:39" x14ac:dyDescent="0.25">
      <c r="A546" s="2">
        <v>553</v>
      </c>
      <c r="B546" s="2" t="s">
        <v>40</v>
      </c>
      <c r="C546" s="2"/>
      <c r="D546" s="2"/>
      <c r="E546" s="2"/>
      <c r="F546" s="2"/>
      <c r="G546" s="2"/>
      <c r="H546" s="2"/>
      <c r="I546" s="2"/>
      <c r="J546" s="2"/>
      <c r="K546" s="451"/>
      <c r="L546" s="451"/>
      <c r="M546" s="451"/>
      <c r="N546" s="451"/>
      <c r="O546" s="451"/>
      <c r="P546" s="177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 t="str">
        <f t="shared" si="8"/>
        <v>NCL</v>
      </c>
    </row>
    <row r="547" spans="1:39" x14ac:dyDescent="0.25">
      <c r="A547">
        <v>554</v>
      </c>
      <c r="B547" t="s">
        <v>41</v>
      </c>
      <c r="P547" s="176"/>
      <c r="AM547" t="str">
        <f t="shared" si="8"/>
        <v>CL</v>
      </c>
    </row>
    <row r="548" spans="1:39" x14ac:dyDescent="0.25">
      <c r="A548">
        <v>555</v>
      </c>
      <c r="B548" t="s">
        <v>42</v>
      </c>
      <c r="P548" s="176"/>
      <c r="AM548" t="str">
        <f t="shared" si="8"/>
        <v>ACL</v>
      </c>
    </row>
    <row r="549" spans="1:39" x14ac:dyDescent="0.25">
      <c r="A549">
        <v>556</v>
      </c>
      <c r="B549" t="s">
        <v>43</v>
      </c>
      <c r="P549" s="176"/>
      <c r="AM549" t="str">
        <f t="shared" si="8"/>
        <v>SPCL</v>
      </c>
    </row>
    <row r="550" spans="1:39" x14ac:dyDescent="0.25">
      <c r="A550">
        <v>557</v>
      </c>
      <c r="B550" s="1" t="s">
        <v>44</v>
      </c>
      <c r="C550" s="1"/>
      <c r="D550" s="1"/>
      <c r="E550" s="1"/>
      <c r="F550" s="1"/>
      <c r="G550" s="1"/>
      <c r="H550" s="1"/>
      <c r="I550" s="1"/>
      <c r="J550" s="1"/>
      <c r="K550" s="452"/>
      <c r="L550" s="452"/>
      <c r="M550" s="452"/>
      <c r="N550" s="452"/>
      <c r="O550" s="452"/>
      <c r="P550" s="178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 t="str">
        <f t="shared" si="8"/>
        <v>SPACL</v>
      </c>
    </row>
    <row r="551" spans="1:39" x14ac:dyDescent="0.25">
      <c r="A551" s="2">
        <v>558</v>
      </c>
      <c r="B551" s="2" t="s">
        <v>40</v>
      </c>
      <c r="C551" s="2"/>
      <c r="D551" s="2"/>
      <c r="E551" s="2"/>
      <c r="F551" s="2"/>
      <c r="G551" s="2"/>
      <c r="H551" s="2"/>
      <c r="I551" s="2"/>
      <c r="J551" s="2"/>
      <c r="K551" s="451"/>
      <c r="L551" s="451"/>
      <c r="M551" s="451"/>
      <c r="N551" s="451"/>
      <c r="O551" s="451"/>
      <c r="P551" s="177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 t="str">
        <f t="shared" si="8"/>
        <v>NCL</v>
      </c>
    </row>
    <row r="552" spans="1:39" x14ac:dyDescent="0.25">
      <c r="A552">
        <v>559</v>
      </c>
      <c r="B552" t="s">
        <v>41</v>
      </c>
      <c r="P552" s="176"/>
      <c r="AM552" t="str">
        <f t="shared" si="8"/>
        <v>CL</v>
      </c>
    </row>
    <row r="553" spans="1:39" x14ac:dyDescent="0.25">
      <c r="A553">
        <v>560</v>
      </c>
      <c r="B553" t="s">
        <v>42</v>
      </c>
      <c r="P553" s="176"/>
      <c r="AM553" t="str">
        <f t="shared" si="8"/>
        <v>ACL</v>
      </c>
    </row>
    <row r="554" spans="1:39" x14ac:dyDescent="0.25">
      <c r="A554">
        <v>561</v>
      </c>
      <c r="B554" t="s">
        <v>43</v>
      </c>
      <c r="P554" s="176"/>
      <c r="AM554" t="str">
        <f t="shared" si="8"/>
        <v>SPCL</v>
      </c>
    </row>
    <row r="555" spans="1:39" x14ac:dyDescent="0.25">
      <c r="A555">
        <v>562</v>
      </c>
      <c r="B555" s="1" t="s">
        <v>44</v>
      </c>
      <c r="C555" s="1"/>
      <c r="D555" s="1"/>
      <c r="E555" s="1"/>
      <c r="F555" s="1"/>
      <c r="G555" s="1"/>
      <c r="H555" s="1"/>
      <c r="I555" s="1"/>
      <c r="J555" s="1"/>
      <c r="K555" s="452"/>
      <c r="L555" s="452"/>
      <c r="M555" s="452"/>
      <c r="N555" s="452"/>
      <c r="O555" s="452"/>
      <c r="P555" s="178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 t="str">
        <f t="shared" si="8"/>
        <v>SPACL</v>
      </c>
    </row>
    <row r="556" spans="1:39" x14ac:dyDescent="0.25">
      <c r="A556" s="2">
        <v>563</v>
      </c>
      <c r="B556" s="2" t="s">
        <v>40</v>
      </c>
      <c r="C556" s="2"/>
      <c r="D556" s="2"/>
      <c r="E556" s="2"/>
      <c r="F556" s="2"/>
      <c r="G556" s="2"/>
      <c r="H556" s="2"/>
      <c r="I556" s="2"/>
      <c r="J556" s="2"/>
      <c r="K556" s="451"/>
      <c r="L556" s="451"/>
      <c r="M556" s="451"/>
      <c r="N556" s="451"/>
      <c r="O556" s="451"/>
      <c r="P556" s="177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 t="str">
        <f t="shared" si="8"/>
        <v>NCL</v>
      </c>
    </row>
    <row r="557" spans="1:39" x14ac:dyDescent="0.25">
      <c r="A557">
        <v>564</v>
      </c>
      <c r="B557" t="s">
        <v>41</v>
      </c>
      <c r="P557" s="176"/>
      <c r="AM557" t="str">
        <f t="shared" si="8"/>
        <v>CL</v>
      </c>
    </row>
    <row r="558" spans="1:39" x14ac:dyDescent="0.25">
      <c r="A558">
        <v>565</v>
      </c>
      <c r="B558" t="s">
        <v>42</v>
      </c>
      <c r="P558" s="176"/>
      <c r="AM558" t="str">
        <f t="shared" si="8"/>
        <v>ACL</v>
      </c>
    </row>
    <row r="559" spans="1:39" x14ac:dyDescent="0.25">
      <c r="A559">
        <v>566</v>
      </c>
      <c r="B559" t="s">
        <v>43</v>
      </c>
      <c r="P559" s="176"/>
      <c r="AM559" t="str">
        <f t="shared" si="8"/>
        <v>SPCL</v>
      </c>
    </row>
    <row r="560" spans="1:39" x14ac:dyDescent="0.25">
      <c r="A560">
        <v>567</v>
      </c>
      <c r="B560" s="1" t="s">
        <v>44</v>
      </c>
      <c r="C560" s="1"/>
      <c r="D560" s="1"/>
      <c r="E560" s="1"/>
      <c r="F560" s="1"/>
      <c r="G560" s="1"/>
      <c r="H560" s="1"/>
      <c r="I560" s="1"/>
      <c r="J560" s="1"/>
      <c r="K560" s="452"/>
      <c r="L560" s="452"/>
      <c r="M560" s="452"/>
      <c r="N560" s="452"/>
      <c r="O560" s="452"/>
      <c r="P560" s="178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 t="str">
        <f t="shared" si="8"/>
        <v>SPACL</v>
      </c>
    </row>
    <row r="561" spans="1:39" x14ac:dyDescent="0.25">
      <c r="A561" s="2">
        <v>568</v>
      </c>
      <c r="B561" s="2" t="s">
        <v>40</v>
      </c>
      <c r="C561" s="2"/>
      <c r="D561" s="2"/>
      <c r="E561" s="2"/>
      <c r="F561" s="2"/>
      <c r="G561" s="2"/>
      <c r="H561" s="2"/>
      <c r="I561" s="2"/>
      <c r="J561" s="2"/>
      <c r="K561" s="451"/>
      <c r="L561" s="451"/>
      <c r="M561" s="451"/>
      <c r="N561" s="451"/>
      <c r="O561" s="451"/>
      <c r="P561" s="177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 t="str">
        <f t="shared" si="8"/>
        <v>NCL</v>
      </c>
    </row>
    <row r="562" spans="1:39" x14ac:dyDescent="0.25">
      <c r="A562">
        <v>569</v>
      </c>
      <c r="B562" t="s">
        <v>41</v>
      </c>
      <c r="P562" s="176"/>
      <c r="AM562" t="str">
        <f t="shared" si="8"/>
        <v>CL</v>
      </c>
    </row>
    <row r="563" spans="1:39" x14ac:dyDescent="0.25">
      <c r="A563">
        <v>570</v>
      </c>
      <c r="B563" t="s">
        <v>42</v>
      </c>
      <c r="P563" s="176"/>
      <c r="AM563" t="str">
        <f t="shared" si="8"/>
        <v>ACL</v>
      </c>
    </row>
    <row r="564" spans="1:39" x14ac:dyDescent="0.25">
      <c r="A564">
        <v>571</v>
      </c>
      <c r="B564" t="s">
        <v>43</v>
      </c>
      <c r="P564" s="176"/>
      <c r="AM564" t="str">
        <f t="shared" si="8"/>
        <v>SPCL</v>
      </c>
    </row>
    <row r="565" spans="1:39" x14ac:dyDescent="0.25">
      <c r="A565">
        <v>572</v>
      </c>
      <c r="B565" s="1" t="s">
        <v>44</v>
      </c>
      <c r="C565" s="1"/>
      <c r="D565" s="1"/>
      <c r="E565" s="1"/>
      <c r="F565" s="1"/>
      <c r="G565" s="1"/>
      <c r="H565" s="1"/>
      <c r="I565" s="1"/>
      <c r="J565" s="1"/>
      <c r="K565" s="452"/>
      <c r="L565" s="452"/>
      <c r="M565" s="452"/>
      <c r="N565" s="452"/>
      <c r="O565" s="452"/>
      <c r="P565" s="178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 t="str">
        <f t="shared" si="8"/>
        <v>SPACL</v>
      </c>
    </row>
    <row r="566" spans="1:39" x14ac:dyDescent="0.25">
      <c r="A566" s="2">
        <v>573</v>
      </c>
      <c r="B566" s="2" t="s">
        <v>40</v>
      </c>
      <c r="C566" s="2"/>
      <c r="D566" s="2"/>
      <c r="E566" s="2"/>
      <c r="F566" s="2"/>
      <c r="G566" s="2"/>
      <c r="H566" s="2"/>
      <c r="I566" s="2"/>
      <c r="J566" s="2"/>
      <c r="K566" s="451"/>
      <c r="L566" s="451"/>
      <c r="M566" s="451"/>
      <c r="N566" s="451"/>
      <c r="O566" s="451"/>
      <c r="P566" s="177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 t="str">
        <f t="shared" si="8"/>
        <v>NCL</v>
      </c>
    </row>
    <row r="567" spans="1:39" x14ac:dyDescent="0.25">
      <c r="A567">
        <v>574</v>
      </c>
      <c r="B567" t="s">
        <v>41</v>
      </c>
      <c r="P567" s="176"/>
      <c r="AM567" t="str">
        <f t="shared" si="8"/>
        <v>CL</v>
      </c>
    </row>
    <row r="568" spans="1:39" x14ac:dyDescent="0.25">
      <c r="A568">
        <v>575</v>
      </c>
      <c r="B568" t="s">
        <v>42</v>
      </c>
      <c r="P568" s="176"/>
      <c r="AM568" t="str">
        <f t="shared" si="8"/>
        <v>ACL</v>
      </c>
    </row>
    <row r="569" spans="1:39" x14ac:dyDescent="0.25">
      <c r="A569">
        <v>576</v>
      </c>
      <c r="B569" t="s">
        <v>43</v>
      </c>
      <c r="P569" s="176"/>
      <c r="AM569" t="str">
        <f t="shared" si="8"/>
        <v>SPCL</v>
      </c>
    </row>
    <row r="570" spans="1:39" x14ac:dyDescent="0.25">
      <c r="A570">
        <v>577</v>
      </c>
      <c r="B570" s="1" t="s">
        <v>44</v>
      </c>
      <c r="C570" s="1"/>
      <c r="D570" s="1"/>
      <c r="E570" s="1"/>
      <c r="F570" s="1"/>
      <c r="G570" s="1"/>
      <c r="H570" s="1"/>
      <c r="I570" s="1"/>
      <c r="J570" s="1"/>
      <c r="K570" s="452"/>
      <c r="L570" s="452"/>
      <c r="M570" s="452"/>
      <c r="N570" s="452"/>
      <c r="O570" s="452"/>
      <c r="P570" s="178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 t="str">
        <f t="shared" ref="AM570:AM633" si="9">_xlfn.CONCAT(B570,AL570)</f>
        <v>SPACL</v>
      </c>
    </row>
    <row r="571" spans="1:39" x14ac:dyDescent="0.25">
      <c r="A571" s="2">
        <v>578</v>
      </c>
      <c r="B571" s="2" t="s">
        <v>40</v>
      </c>
      <c r="C571" s="2"/>
      <c r="D571" s="2"/>
      <c r="E571" s="2"/>
      <c r="F571" s="2"/>
      <c r="G571" s="2"/>
      <c r="H571" s="2"/>
      <c r="I571" s="2"/>
      <c r="J571" s="2"/>
      <c r="K571" s="451"/>
      <c r="L571" s="451"/>
      <c r="M571" s="451"/>
      <c r="N571" s="451"/>
      <c r="O571" s="451"/>
      <c r="P571" s="177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 t="str">
        <f t="shared" si="9"/>
        <v>NCL</v>
      </c>
    </row>
    <row r="572" spans="1:39" x14ac:dyDescent="0.25">
      <c r="A572">
        <v>579</v>
      </c>
      <c r="B572" t="s">
        <v>41</v>
      </c>
      <c r="P572" s="176"/>
      <c r="AM572" t="str">
        <f t="shared" si="9"/>
        <v>CL</v>
      </c>
    </row>
    <row r="573" spans="1:39" x14ac:dyDescent="0.25">
      <c r="A573">
        <v>580</v>
      </c>
      <c r="B573" t="s">
        <v>42</v>
      </c>
      <c r="P573" s="176"/>
      <c r="AM573" t="str">
        <f t="shared" si="9"/>
        <v>ACL</v>
      </c>
    </row>
    <row r="574" spans="1:39" x14ac:dyDescent="0.25">
      <c r="A574">
        <v>581</v>
      </c>
      <c r="B574" t="s">
        <v>43</v>
      </c>
      <c r="P574" s="176"/>
      <c r="AM574" t="str">
        <f t="shared" si="9"/>
        <v>SPCL</v>
      </c>
    </row>
    <row r="575" spans="1:39" x14ac:dyDescent="0.25">
      <c r="A575">
        <v>582</v>
      </c>
      <c r="B575" s="1" t="s">
        <v>44</v>
      </c>
      <c r="C575" s="1"/>
      <c r="D575" s="1"/>
      <c r="E575" s="1"/>
      <c r="F575" s="1"/>
      <c r="G575" s="1"/>
      <c r="H575" s="1"/>
      <c r="I575" s="1"/>
      <c r="J575" s="1"/>
      <c r="K575" s="452"/>
      <c r="L575" s="452"/>
      <c r="M575" s="452"/>
      <c r="N575" s="452"/>
      <c r="O575" s="452"/>
      <c r="P575" s="178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 t="str">
        <f t="shared" si="9"/>
        <v>SPACL</v>
      </c>
    </row>
    <row r="576" spans="1:39" x14ac:dyDescent="0.25">
      <c r="A576" s="2">
        <v>583</v>
      </c>
      <c r="B576" s="2" t="s">
        <v>40</v>
      </c>
      <c r="C576" s="2"/>
      <c r="D576" s="2"/>
      <c r="E576" s="2"/>
      <c r="F576" s="2"/>
      <c r="G576" s="2"/>
      <c r="H576" s="2"/>
      <c r="I576" s="2"/>
      <c r="J576" s="2"/>
      <c r="K576" s="451"/>
      <c r="L576" s="451"/>
      <c r="M576" s="451"/>
      <c r="N576" s="451"/>
      <c r="O576" s="451"/>
      <c r="P576" s="177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 t="str">
        <f t="shared" si="9"/>
        <v>NCL</v>
      </c>
    </row>
    <row r="577" spans="1:39" x14ac:dyDescent="0.25">
      <c r="A577">
        <v>584</v>
      </c>
      <c r="B577" t="s">
        <v>41</v>
      </c>
      <c r="P577" s="176"/>
      <c r="AM577" t="str">
        <f t="shared" si="9"/>
        <v>CL</v>
      </c>
    </row>
    <row r="578" spans="1:39" x14ac:dyDescent="0.25">
      <c r="A578">
        <v>585</v>
      </c>
      <c r="B578" t="s">
        <v>42</v>
      </c>
      <c r="P578" s="176"/>
      <c r="AM578" t="str">
        <f t="shared" si="9"/>
        <v>ACL</v>
      </c>
    </row>
    <row r="579" spans="1:39" x14ac:dyDescent="0.25">
      <c r="A579">
        <v>586</v>
      </c>
      <c r="B579" t="s">
        <v>43</v>
      </c>
      <c r="P579" s="176"/>
      <c r="AM579" t="str">
        <f t="shared" si="9"/>
        <v>SPCL</v>
      </c>
    </row>
    <row r="580" spans="1:39" x14ac:dyDescent="0.25">
      <c r="A580">
        <v>587</v>
      </c>
      <c r="B580" s="1" t="s">
        <v>44</v>
      </c>
      <c r="C580" s="1"/>
      <c r="D580" s="1"/>
      <c r="E580" s="1"/>
      <c r="F580" s="1"/>
      <c r="G580" s="1"/>
      <c r="H580" s="1"/>
      <c r="I580" s="1"/>
      <c r="J580" s="1"/>
      <c r="K580" s="452"/>
      <c r="L580" s="452"/>
      <c r="M580" s="452"/>
      <c r="N580" s="452"/>
      <c r="O580" s="452"/>
      <c r="P580" s="178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 t="str">
        <f t="shared" si="9"/>
        <v>SPACL</v>
      </c>
    </row>
    <row r="581" spans="1:39" x14ac:dyDescent="0.25">
      <c r="A581" s="2">
        <v>588</v>
      </c>
      <c r="B581" s="2" t="s">
        <v>40</v>
      </c>
      <c r="C581" s="2"/>
      <c r="D581" s="2"/>
      <c r="E581" s="2"/>
      <c r="F581" s="2"/>
      <c r="G581" s="2"/>
      <c r="H581" s="2"/>
      <c r="I581" s="2"/>
      <c r="J581" s="2"/>
      <c r="K581" s="451"/>
      <c r="L581" s="451"/>
      <c r="M581" s="451"/>
      <c r="N581" s="451"/>
      <c r="O581" s="451"/>
      <c r="P581" s="177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 t="str">
        <f t="shared" si="9"/>
        <v>NCL</v>
      </c>
    </row>
    <row r="582" spans="1:39" x14ac:dyDescent="0.25">
      <c r="A582">
        <v>589</v>
      </c>
      <c r="B582" t="s">
        <v>41</v>
      </c>
      <c r="P582" s="176"/>
      <c r="AM582" t="str">
        <f t="shared" si="9"/>
        <v>CL</v>
      </c>
    </row>
    <row r="583" spans="1:39" x14ac:dyDescent="0.25">
      <c r="A583">
        <v>590</v>
      </c>
      <c r="B583" t="s">
        <v>42</v>
      </c>
      <c r="P583" s="176"/>
      <c r="AM583" t="str">
        <f t="shared" si="9"/>
        <v>ACL</v>
      </c>
    </row>
    <row r="584" spans="1:39" x14ac:dyDescent="0.25">
      <c r="A584">
        <v>591</v>
      </c>
      <c r="B584" t="s">
        <v>43</v>
      </c>
      <c r="P584" s="176"/>
      <c r="AM584" t="str">
        <f t="shared" si="9"/>
        <v>SPCL</v>
      </c>
    </row>
    <row r="585" spans="1:39" x14ac:dyDescent="0.25">
      <c r="A585">
        <v>592</v>
      </c>
      <c r="B585" s="1" t="s">
        <v>44</v>
      </c>
      <c r="C585" s="1"/>
      <c r="D585" s="1"/>
      <c r="E585" s="1"/>
      <c r="F585" s="1"/>
      <c r="G585" s="1"/>
      <c r="H585" s="1"/>
      <c r="I585" s="1"/>
      <c r="J585" s="1"/>
      <c r="K585" s="452"/>
      <c r="L585" s="452"/>
      <c r="M585" s="452"/>
      <c r="N585" s="452"/>
      <c r="O585" s="452"/>
      <c r="P585" s="178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 t="str">
        <f t="shared" si="9"/>
        <v>SPACL</v>
      </c>
    </row>
    <row r="586" spans="1:39" x14ac:dyDescent="0.25">
      <c r="A586" s="2">
        <v>593</v>
      </c>
      <c r="B586" s="2" t="s">
        <v>40</v>
      </c>
      <c r="C586" s="2"/>
      <c r="D586" s="2"/>
      <c r="E586" s="2"/>
      <c r="F586" s="2"/>
      <c r="G586" s="2"/>
      <c r="H586" s="2"/>
      <c r="I586" s="2"/>
      <c r="J586" s="2"/>
      <c r="K586" s="451"/>
      <c r="L586" s="451"/>
      <c r="M586" s="451"/>
      <c r="N586" s="451"/>
      <c r="O586" s="451"/>
      <c r="P586" s="177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 t="str">
        <f t="shared" si="9"/>
        <v>NCL</v>
      </c>
    </row>
    <row r="587" spans="1:39" x14ac:dyDescent="0.25">
      <c r="A587">
        <v>594</v>
      </c>
      <c r="B587" t="s">
        <v>41</v>
      </c>
      <c r="P587" s="176"/>
      <c r="AM587" t="str">
        <f t="shared" si="9"/>
        <v>CL</v>
      </c>
    </row>
    <row r="588" spans="1:39" x14ac:dyDescent="0.25">
      <c r="A588">
        <v>595</v>
      </c>
      <c r="B588" t="s">
        <v>42</v>
      </c>
      <c r="P588" s="176"/>
      <c r="AM588" t="str">
        <f t="shared" si="9"/>
        <v>ACL</v>
      </c>
    </row>
    <row r="589" spans="1:39" x14ac:dyDescent="0.25">
      <c r="A589">
        <v>596</v>
      </c>
      <c r="B589" t="s">
        <v>43</v>
      </c>
      <c r="P589" s="176"/>
      <c r="AM589" t="str">
        <f t="shared" si="9"/>
        <v>SPCL</v>
      </c>
    </row>
    <row r="590" spans="1:39" x14ac:dyDescent="0.25">
      <c r="A590">
        <v>597</v>
      </c>
      <c r="B590" s="1" t="s">
        <v>44</v>
      </c>
      <c r="C590" s="1"/>
      <c r="D590" s="1"/>
      <c r="E590" s="1"/>
      <c r="F590" s="1"/>
      <c r="G590" s="1"/>
      <c r="H590" s="1"/>
      <c r="I590" s="1"/>
      <c r="J590" s="1"/>
      <c r="K590" s="452"/>
      <c r="L590" s="452"/>
      <c r="M590" s="452"/>
      <c r="N590" s="452"/>
      <c r="O590" s="452"/>
      <c r="P590" s="178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 t="str">
        <f t="shared" si="9"/>
        <v>SPACL</v>
      </c>
    </row>
    <row r="591" spans="1:39" x14ac:dyDescent="0.25">
      <c r="A591" s="2">
        <v>598</v>
      </c>
      <c r="B591" s="2" t="s">
        <v>40</v>
      </c>
      <c r="C591" s="2"/>
      <c r="D591" s="2"/>
      <c r="E591" s="2"/>
      <c r="F591" s="2"/>
      <c r="G591" s="2"/>
      <c r="H591" s="2"/>
      <c r="I591" s="2"/>
      <c r="J591" s="2"/>
      <c r="K591" s="451"/>
      <c r="L591" s="451"/>
      <c r="M591" s="451"/>
      <c r="N591" s="451"/>
      <c r="O591" s="451"/>
      <c r="P591" s="177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 t="str">
        <f t="shared" si="9"/>
        <v>NCL</v>
      </c>
    </row>
    <row r="592" spans="1:39" x14ac:dyDescent="0.25">
      <c r="A592">
        <v>599</v>
      </c>
      <c r="B592" t="s">
        <v>41</v>
      </c>
      <c r="P592" s="176"/>
      <c r="AM592" t="str">
        <f t="shared" si="9"/>
        <v>CL</v>
      </c>
    </row>
    <row r="593" spans="1:39" x14ac:dyDescent="0.25">
      <c r="A593">
        <v>600</v>
      </c>
      <c r="B593" t="s">
        <v>42</v>
      </c>
      <c r="P593" s="176"/>
      <c r="AM593" t="str">
        <f t="shared" si="9"/>
        <v>ACL</v>
      </c>
    </row>
    <row r="594" spans="1:39" x14ac:dyDescent="0.25">
      <c r="A594">
        <v>601</v>
      </c>
      <c r="B594" t="s">
        <v>43</v>
      </c>
      <c r="P594" s="176"/>
      <c r="AM594" t="str">
        <f t="shared" si="9"/>
        <v>SPCL</v>
      </c>
    </row>
    <row r="595" spans="1:39" x14ac:dyDescent="0.25">
      <c r="A595">
        <v>602</v>
      </c>
      <c r="B595" s="1" t="s">
        <v>44</v>
      </c>
      <c r="C595" s="1"/>
      <c r="D595" s="1"/>
      <c r="E595" s="1"/>
      <c r="F595" s="1"/>
      <c r="G595" s="1"/>
      <c r="H595" s="1"/>
      <c r="I595" s="1"/>
      <c r="J595" s="1"/>
      <c r="K595" s="452"/>
      <c r="L595" s="452"/>
      <c r="M595" s="452"/>
      <c r="N595" s="452"/>
      <c r="O595" s="452"/>
      <c r="P595" s="178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 t="str">
        <f t="shared" si="9"/>
        <v>SPACL</v>
      </c>
    </row>
    <row r="596" spans="1:39" x14ac:dyDescent="0.25">
      <c r="A596" s="2">
        <v>603</v>
      </c>
      <c r="B596" s="2" t="s">
        <v>40</v>
      </c>
      <c r="C596" s="2"/>
      <c r="D596" s="2"/>
      <c r="E596" s="2"/>
      <c r="F596" s="2"/>
      <c r="G596" s="2"/>
      <c r="H596" s="2"/>
      <c r="I596" s="2"/>
      <c r="J596" s="2"/>
      <c r="K596" s="451"/>
      <c r="L596" s="451"/>
      <c r="M596" s="451"/>
      <c r="N596" s="451"/>
      <c r="O596" s="451"/>
      <c r="P596" s="177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 t="str">
        <f t="shared" si="9"/>
        <v>NCL</v>
      </c>
    </row>
    <row r="597" spans="1:39" x14ac:dyDescent="0.25">
      <c r="A597">
        <v>604</v>
      </c>
      <c r="B597" t="s">
        <v>41</v>
      </c>
      <c r="P597" s="176"/>
      <c r="AM597" t="str">
        <f t="shared" si="9"/>
        <v>CL</v>
      </c>
    </row>
    <row r="598" spans="1:39" x14ac:dyDescent="0.25">
      <c r="A598">
        <v>605</v>
      </c>
      <c r="B598" t="s">
        <v>42</v>
      </c>
      <c r="P598" s="176"/>
      <c r="AM598" t="str">
        <f t="shared" si="9"/>
        <v>ACL</v>
      </c>
    </row>
    <row r="599" spans="1:39" x14ac:dyDescent="0.25">
      <c r="A599">
        <v>606</v>
      </c>
      <c r="B599" t="s">
        <v>43</v>
      </c>
      <c r="P599" s="176"/>
      <c r="AM599" t="str">
        <f t="shared" si="9"/>
        <v>SPCL</v>
      </c>
    </row>
    <row r="600" spans="1:39" x14ac:dyDescent="0.25">
      <c r="A600">
        <v>607</v>
      </c>
      <c r="B600" s="1" t="s">
        <v>44</v>
      </c>
      <c r="C600" s="1"/>
      <c r="D600" s="1"/>
      <c r="E600" s="1"/>
      <c r="F600" s="1"/>
      <c r="G600" s="1"/>
      <c r="H600" s="1"/>
      <c r="I600" s="1"/>
      <c r="J600" s="1"/>
      <c r="K600" s="452"/>
      <c r="L600" s="452"/>
      <c r="M600" s="452"/>
      <c r="N600" s="452"/>
      <c r="O600" s="452"/>
      <c r="P600" s="178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 t="str">
        <f t="shared" si="9"/>
        <v>SPACL</v>
      </c>
    </row>
    <row r="601" spans="1:39" x14ac:dyDescent="0.25">
      <c r="A601" s="2">
        <v>608</v>
      </c>
      <c r="B601" s="2" t="s">
        <v>40</v>
      </c>
      <c r="C601" s="2"/>
      <c r="D601" s="2"/>
      <c r="E601" s="2"/>
      <c r="F601" s="2"/>
      <c r="G601" s="2"/>
      <c r="H601" s="2"/>
      <c r="I601" s="2"/>
      <c r="J601" s="2"/>
      <c r="K601" s="451"/>
      <c r="L601" s="451"/>
      <c r="M601" s="451"/>
      <c r="N601" s="451"/>
      <c r="O601" s="451"/>
      <c r="P601" s="177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 t="str">
        <f t="shared" si="9"/>
        <v>NCL</v>
      </c>
    </row>
    <row r="602" spans="1:39" x14ac:dyDescent="0.25">
      <c r="A602">
        <v>609</v>
      </c>
      <c r="B602" t="s">
        <v>41</v>
      </c>
      <c r="P602" s="176"/>
      <c r="AM602" t="str">
        <f t="shared" si="9"/>
        <v>CL</v>
      </c>
    </row>
    <row r="603" spans="1:39" x14ac:dyDescent="0.25">
      <c r="A603">
        <v>610</v>
      </c>
      <c r="B603" t="s">
        <v>42</v>
      </c>
      <c r="P603" s="176"/>
      <c r="AM603" t="str">
        <f t="shared" si="9"/>
        <v>ACL</v>
      </c>
    </row>
    <row r="604" spans="1:39" x14ac:dyDescent="0.25">
      <c r="A604">
        <v>611</v>
      </c>
      <c r="B604" t="s">
        <v>43</v>
      </c>
      <c r="P604" s="176"/>
      <c r="AM604" t="str">
        <f t="shared" si="9"/>
        <v>SPCL</v>
      </c>
    </row>
    <row r="605" spans="1:39" x14ac:dyDescent="0.25">
      <c r="A605">
        <v>612</v>
      </c>
      <c r="B605" s="1" t="s">
        <v>44</v>
      </c>
      <c r="C605" s="1"/>
      <c r="D605" s="1"/>
      <c r="E605" s="1"/>
      <c r="F605" s="1"/>
      <c r="G605" s="1"/>
      <c r="H605" s="1"/>
      <c r="I605" s="1"/>
      <c r="J605" s="1"/>
      <c r="K605" s="452"/>
      <c r="L605" s="452"/>
      <c r="M605" s="452"/>
      <c r="N605" s="452"/>
      <c r="O605" s="452"/>
      <c r="P605" s="178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 t="str">
        <f t="shared" si="9"/>
        <v>SPACL</v>
      </c>
    </row>
    <row r="606" spans="1:39" x14ac:dyDescent="0.25">
      <c r="A606" s="2">
        <v>613</v>
      </c>
      <c r="B606" s="2" t="s">
        <v>40</v>
      </c>
      <c r="C606" s="2"/>
      <c r="D606" s="2"/>
      <c r="E606" s="2"/>
      <c r="F606" s="2"/>
      <c r="G606" s="2"/>
      <c r="H606" s="2"/>
      <c r="I606" s="2"/>
      <c r="J606" s="2"/>
      <c r="K606" s="451"/>
      <c r="L606" s="451"/>
      <c r="M606" s="451"/>
      <c r="N606" s="451"/>
      <c r="O606" s="451"/>
      <c r="P606" s="177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 t="str">
        <f t="shared" si="9"/>
        <v>NCL</v>
      </c>
    </row>
    <row r="607" spans="1:39" x14ac:dyDescent="0.25">
      <c r="A607">
        <v>614</v>
      </c>
      <c r="B607" t="s">
        <v>41</v>
      </c>
      <c r="P607" s="176"/>
      <c r="AM607" t="str">
        <f t="shared" si="9"/>
        <v>CL</v>
      </c>
    </row>
    <row r="608" spans="1:39" x14ac:dyDescent="0.25">
      <c r="A608">
        <v>615</v>
      </c>
      <c r="B608" t="s">
        <v>42</v>
      </c>
      <c r="P608" s="176"/>
      <c r="AM608" t="str">
        <f t="shared" si="9"/>
        <v>ACL</v>
      </c>
    </row>
    <row r="609" spans="1:39" x14ac:dyDescent="0.25">
      <c r="A609">
        <v>616</v>
      </c>
      <c r="B609" t="s">
        <v>43</v>
      </c>
      <c r="P609" s="176"/>
      <c r="AM609" t="str">
        <f t="shared" si="9"/>
        <v>SPCL</v>
      </c>
    </row>
    <row r="610" spans="1:39" x14ac:dyDescent="0.25">
      <c r="A610">
        <v>617</v>
      </c>
      <c r="B610" s="1" t="s">
        <v>44</v>
      </c>
      <c r="C610" s="1"/>
      <c r="D610" s="1"/>
      <c r="E610" s="1"/>
      <c r="F610" s="1"/>
      <c r="G610" s="1"/>
      <c r="H610" s="1"/>
      <c r="I610" s="1"/>
      <c r="J610" s="1"/>
      <c r="K610" s="452"/>
      <c r="L610" s="452"/>
      <c r="M610" s="452"/>
      <c r="N610" s="452"/>
      <c r="O610" s="452"/>
      <c r="P610" s="178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 t="str">
        <f t="shared" si="9"/>
        <v>SPACL</v>
      </c>
    </row>
    <row r="611" spans="1:39" x14ac:dyDescent="0.25">
      <c r="A611" s="2">
        <v>618</v>
      </c>
      <c r="B611" s="2" t="s">
        <v>40</v>
      </c>
      <c r="C611" s="2"/>
      <c r="D611" s="2"/>
      <c r="E611" s="2"/>
      <c r="F611" s="2"/>
      <c r="G611" s="2"/>
      <c r="H611" s="2"/>
      <c r="I611" s="2"/>
      <c r="J611" s="2"/>
      <c r="K611" s="451"/>
      <c r="L611" s="451"/>
      <c r="M611" s="451"/>
      <c r="N611" s="451"/>
      <c r="O611" s="451"/>
      <c r="P611" s="177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 t="str">
        <f t="shared" si="9"/>
        <v>NCL</v>
      </c>
    </row>
    <row r="612" spans="1:39" x14ac:dyDescent="0.25">
      <c r="A612">
        <v>619</v>
      </c>
      <c r="B612" t="s">
        <v>41</v>
      </c>
      <c r="P612" s="176"/>
      <c r="AM612" t="str">
        <f t="shared" si="9"/>
        <v>CL</v>
      </c>
    </row>
    <row r="613" spans="1:39" x14ac:dyDescent="0.25">
      <c r="A613">
        <v>620</v>
      </c>
      <c r="B613" t="s">
        <v>42</v>
      </c>
      <c r="P613" s="176"/>
      <c r="AM613" t="str">
        <f t="shared" si="9"/>
        <v>ACL</v>
      </c>
    </row>
    <row r="614" spans="1:39" x14ac:dyDescent="0.25">
      <c r="A614">
        <v>621</v>
      </c>
      <c r="B614" t="s">
        <v>43</v>
      </c>
      <c r="P614" s="176"/>
      <c r="AM614" t="str">
        <f t="shared" si="9"/>
        <v>SPCL</v>
      </c>
    </row>
    <row r="615" spans="1:39" x14ac:dyDescent="0.25">
      <c r="A615">
        <v>622</v>
      </c>
      <c r="B615" s="1" t="s">
        <v>44</v>
      </c>
      <c r="C615" s="1"/>
      <c r="D615" s="1"/>
      <c r="E615" s="1"/>
      <c r="F615" s="1"/>
      <c r="G615" s="1"/>
      <c r="H615" s="1"/>
      <c r="I615" s="1"/>
      <c r="J615" s="1"/>
      <c r="K615" s="452"/>
      <c r="L615" s="452"/>
      <c r="M615" s="452"/>
      <c r="N615" s="452"/>
      <c r="O615" s="452"/>
      <c r="P615" s="178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 t="str">
        <f t="shared" si="9"/>
        <v>SPACL</v>
      </c>
    </row>
    <row r="616" spans="1:39" x14ac:dyDescent="0.25">
      <c r="A616" s="2">
        <v>623</v>
      </c>
      <c r="B616" s="2" t="s">
        <v>40</v>
      </c>
      <c r="C616" s="2"/>
      <c r="D616" s="2"/>
      <c r="E616" s="2"/>
      <c r="F616" s="2"/>
      <c r="G616" s="2"/>
      <c r="H616" s="2"/>
      <c r="I616" s="2"/>
      <c r="J616" s="2"/>
      <c r="K616" s="451"/>
      <c r="L616" s="451"/>
      <c r="M616" s="451"/>
      <c r="N616" s="451"/>
      <c r="O616" s="451"/>
      <c r="P616" s="177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 t="str">
        <f t="shared" si="9"/>
        <v>NCL</v>
      </c>
    </row>
    <row r="617" spans="1:39" x14ac:dyDescent="0.25">
      <c r="A617">
        <v>624</v>
      </c>
      <c r="B617" t="s">
        <v>41</v>
      </c>
      <c r="P617" s="176"/>
      <c r="AM617" t="str">
        <f t="shared" si="9"/>
        <v>CL</v>
      </c>
    </row>
    <row r="618" spans="1:39" x14ac:dyDescent="0.25">
      <c r="A618">
        <v>625</v>
      </c>
      <c r="B618" t="s">
        <v>42</v>
      </c>
      <c r="P618" s="176"/>
      <c r="AM618" t="str">
        <f t="shared" si="9"/>
        <v>ACL</v>
      </c>
    </row>
    <row r="619" spans="1:39" x14ac:dyDescent="0.25">
      <c r="A619">
        <v>626</v>
      </c>
      <c r="B619" t="s">
        <v>43</v>
      </c>
      <c r="P619" s="176"/>
      <c r="AM619" t="str">
        <f t="shared" si="9"/>
        <v>SPCL</v>
      </c>
    </row>
    <row r="620" spans="1:39" x14ac:dyDescent="0.25">
      <c r="A620">
        <v>627</v>
      </c>
      <c r="B620" s="1" t="s">
        <v>44</v>
      </c>
      <c r="C620" s="1"/>
      <c r="D620" s="1"/>
      <c r="E620" s="1"/>
      <c r="F620" s="1"/>
      <c r="G620" s="1"/>
      <c r="H620" s="1"/>
      <c r="I620" s="1"/>
      <c r="J620" s="1"/>
      <c r="K620" s="452"/>
      <c r="L620" s="452"/>
      <c r="M620" s="452"/>
      <c r="N620" s="452"/>
      <c r="O620" s="452"/>
      <c r="P620" s="178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 t="str">
        <f t="shared" si="9"/>
        <v>SPACL</v>
      </c>
    </row>
    <row r="621" spans="1:39" x14ac:dyDescent="0.25">
      <c r="A621" s="2">
        <v>628</v>
      </c>
      <c r="B621" s="2" t="s">
        <v>40</v>
      </c>
      <c r="C621" s="2"/>
      <c r="D621" s="2"/>
      <c r="E621" s="2"/>
      <c r="F621" s="2"/>
      <c r="G621" s="2"/>
      <c r="H621" s="2"/>
      <c r="I621" s="2"/>
      <c r="J621" s="2"/>
      <c r="K621" s="451"/>
      <c r="L621" s="451"/>
      <c r="M621" s="451"/>
      <c r="N621" s="451"/>
      <c r="O621" s="451"/>
      <c r="P621" s="177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 t="str">
        <f t="shared" si="9"/>
        <v>NCL</v>
      </c>
    </row>
    <row r="622" spans="1:39" x14ac:dyDescent="0.25">
      <c r="A622">
        <v>629</v>
      </c>
      <c r="B622" t="s">
        <v>41</v>
      </c>
      <c r="P622" s="176"/>
      <c r="AM622" t="str">
        <f t="shared" si="9"/>
        <v>CL</v>
      </c>
    </row>
    <row r="623" spans="1:39" x14ac:dyDescent="0.25">
      <c r="A623">
        <v>630</v>
      </c>
      <c r="B623" t="s">
        <v>42</v>
      </c>
      <c r="P623" s="176"/>
      <c r="AM623" t="str">
        <f t="shared" si="9"/>
        <v>ACL</v>
      </c>
    </row>
    <row r="624" spans="1:39" x14ac:dyDescent="0.25">
      <c r="A624">
        <v>631</v>
      </c>
      <c r="B624" t="s">
        <v>43</v>
      </c>
      <c r="P624" s="176"/>
      <c r="AM624" t="str">
        <f t="shared" si="9"/>
        <v>SPCL</v>
      </c>
    </row>
    <row r="625" spans="1:39" x14ac:dyDescent="0.25">
      <c r="A625">
        <v>632</v>
      </c>
      <c r="B625" s="1" t="s">
        <v>44</v>
      </c>
      <c r="C625" s="1"/>
      <c r="D625" s="1"/>
      <c r="E625" s="1"/>
      <c r="F625" s="1"/>
      <c r="G625" s="1"/>
      <c r="H625" s="1"/>
      <c r="I625" s="1"/>
      <c r="J625" s="1"/>
      <c r="K625" s="452"/>
      <c r="L625" s="452"/>
      <c r="M625" s="452"/>
      <c r="N625" s="452"/>
      <c r="O625" s="452"/>
      <c r="P625" s="178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 t="str">
        <f t="shared" si="9"/>
        <v>SPACL</v>
      </c>
    </row>
    <row r="626" spans="1:39" x14ac:dyDescent="0.25">
      <c r="A626" s="2">
        <v>633</v>
      </c>
      <c r="B626" s="2" t="s">
        <v>40</v>
      </c>
      <c r="C626" s="2"/>
      <c r="D626" s="2"/>
      <c r="E626" s="2"/>
      <c r="F626" s="2"/>
      <c r="G626" s="2"/>
      <c r="H626" s="2"/>
      <c r="I626" s="2"/>
      <c r="J626" s="2"/>
      <c r="K626" s="451"/>
      <c r="L626" s="451"/>
      <c r="M626" s="451"/>
      <c r="N626" s="451"/>
      <c r="O626" s="451"/>
      <c r="P626" s="177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 t="str">
        <f t="shared" si="9"/>
        <v>NCL</v>
      </c>
    </row>
    <row r="627" spans="1:39" x14ac:dyDescent="0.25">
      <c r="A627">
        <v>634</v>
      </c>
      <c r="B627" t="s">
        <v>41</v>
      </c>
      <c r="P627" s="176"/>
      <c r="AM627" t="str">
        <f t="shared" si="9"/>
        <v>CL</v>
      </c>
    </row>
    <row r="628" spans="1:39" x14ac:dyDescent="0.25">
      <c r="A628">
        <v>635</v>
      </c>
      <c r="B628" t="s">
        <v>42</v>
      </c>
      <c r="P628" s="176"/>
      <c r="AM628" t="str">
        <f t="shared" si="9"/>
        <v>ACL</v>
      </c>
    </row>
    <row r="629" spans="1:39" x14ac:dyDescent="0.25">
      <c r="A629">
        <v>636</v>
      </c>
      <c r="B629" t="s">
        <v>43</v>
      </c>
      <c r="P629" s="176"/>
      <c r="AM629" t="str">
        <f t="shared" si="9"/>
        <v>SPCL</v>
      </c>
    </row>
    <row r="630" spans="1:39" x14ac:dyDescent="0.25">
      <c r="A630">
        <v>637</v>
      </c>
      <c r="B630" s="1" t="s">
        <v>44</v>
      </c>
      <c r="C630" s="1"/>
      <c r="D630" s="1"/>
      <c r="E630" s="1"/>
      <c r="F630" s="1"/>
      <c r="G630" s="1"/>
      <c r="H630" s="1"/>
      <c r="I630" s="1"/>
      <c r="J630" s="1"/>
      <c r="K630" s="452"/>
      <c r="L630" s="452"/>
      <c r="M630" s="452"/>
      <c r="N630" s="452"/>
      <c r="O630" s="452"/>
      <c r="P630" s="178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 t="str">
        <f t="shared" si="9"/>
        <v>SPACL</v>
      </c>
    </row>
    <row r="631" spans="1:39" x14ac:dyDescent="0.25">
      <c r="A631" s="2">
        <v>638</v>
      </c>
      <c r="B631" s="2" t="s">
        <v>40</v>
      </c>
      <c r="C631" s="2"/>
      <c r="D631" s="2"/>
      <c r="E631" s="2"/>
      <c r="F631" s="2"/>
      <c r="G631" s="2"/>
      <c r="H631" s="2"/>
      <c r="I631" s="2"/>
      <c r="J631" s="2"/>
      <c r="K631" s="451"/>
      <c r="L631" s="451"/>
      <c r="M631" s="451"/>
      <c r="N631" s="451"/>
      <c r="O631" s="451"/>
      <c r="P631" s="177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 t="str">
        <f t="shared" si="9"/>
        <v>NCL</v>
      </c>
    </row>
    <row r="632" spans="1:39" x14ac:dyDescent="0.25">
      <c r="A632">
        <v>639</v>
      </c>
      <c r="B632" t="s">
        <v>41</v>
      </c>
      <c r="P632" s="176"/>
      <c r="AM632" t="str">
        <f t="shared" si="9"/>
        <v>CL</v>
      </c>
    </row>
    <row r="633" spans="1:39" x14ac:dyDescent="0.25">
      <c r="A633">
        <v>640</v>
      </c>
      <c r="B633" t="s">
        <v>42</v>
      </c>
      <c r="P633" s="176"/>
      <c r="AM633" t="str">
        <f t="shared" si="9"/>
        <v>ACL</v>
      </c>
    </row>
    <row r="634" spans="1:39" x14ac:dyDescent="0.25">
      <c r="A634">
        <v>641</v>
      </c>
      <c r="B634" t="s">
        <v>43</v>
      </c>
      <c r="P634" s="176"/>
      <c r="AM634" t="str">
        <f t="shared" ref="AM634:AM660" si="10">_xlfn.CONCAT(B634,AL634)</f>
        <v>SPCL</v>
      </c>
    </row>
    <row r="635" spans="1:39" x14ac:dyDescent="0.25">
      <c r="A635">
        <v>642</v>
      </c>
      <c r="B635" s="1" t="s">
        <v>44</v>
      </c>
      <c r="C635" s="1"/>
      <c r="D635" s="1"/>
      <c r="E635" s="1"/>
      <c r="F635" s="1"/>
      <c r="G635" s="1"/>
      <c r="H635" s="1"/>
      <c r="I635" s="1"/>
      <c r="J635" s="1"/>
      <c r="K635" s="452"/>
      <c r="L635" s="452"/>
      <c r="M635" s="452"/>
      <c r="N635" s="452"/>
      <c r="O635" s="452"/>
      <c r="P635" s="178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 t="str">
        <f t="shared" si="10"/>
        <v>SPACL</v>
      </c>
    </row>
    <row r="636" spans="1:39" x14ac:dyDescent="0.25">
      <c r="A636" s="2">
        <v>643</v>
      </c>
      <c r="B636" s="2" t="s">
        <v>40</v>
      </c>
      <c r="C636" s="2"/>
      <c r="D636" s="2"/>
      <c r="E636" s="2"/>
      <c r="F636" s="2"/>
      <c r="G636" s="2"/>
      <c r="H636" s="2"/>
      <c r="I636" s="2"/>
      <c r="J636" s="2"/>
      <c r="K636" s="451"/>
      <c r="L636" s="451"/>
      <c r="M636" s="451"/>
      <c r="N636" s="451"/>
      <c r="O636" s="451"/>
      <c r="P636" s="177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 t="str">
        <f t="shared" si="10"/>
        <v>NCL</v>
      </c>
    </row>
    <row r="637" spans="1:39" x14ac:dyDescent="0.25">
      <c r="A637">
        <v>644</v>
      </c>
      <c r="B637" t="s">
        <v>41</v>
      </c>
      <c r="P637" s="176"/>
      <c r="AM637" t="str">
        <f t="shared" si="10"/>
        <v>CL</v>
      </c>
    </row>
    <row r="638" spans="1:39" x14ac:dyDescent="0.25">
      <c r="A638">
        <v>645</v>
      </c>
      <c r="B638" t="s">
        <v>42</v>
      </c>
      <c r="P638" s="176"/>
      <c r="AM638" t="str">
        <f t="shared" si="10"/>
        <v>ACL</v>
      </c>
    </row>
    <row r="639" spans="1:39" x14ac:dyDescent="0.25">
      <c r="A639">
        <v>646</v>
      </c>
      <c r="B639" t="s">
        <v>43</v>
      </c>
      <c r="P639" s="176"/>
      <c r="AM639" t="str">
        <f t="shared" si="10"/>
        <v>SPCL</v>
      </c>
    </row>
    <row r="640" spans="1:39" x14ac:dyDescent="0.25">
      <c r="A640">
        <v>647</v>
      </c>
      <c r="B640" s="1" t="s">
        <v>44</v>
      </c>
      <c r="C640" s="1"/>
      <c r="D640" s="1"/>
      <c r="E640" s="1"/>
      <c r="F640" s="1"/>
      <c r="G640" s="1"/>
      <c r="H640" s="1"/>
      <c r="I640" s="1"/>
      <c r="J640" s="1"/>
      <c r="K640" s="452"/>
      <c r="L640" s="452"/>
      <c r="M640" s="452"/>
      <c r="N640" s="452"/>
      <c r="O640" s="452"/>
      <c r="P640" s="178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 t="str">
        <f t="shared" si="10"/>
        <v>SPACL</v>
      </c>
    </row>
    <row r="641" spans="1:39" x14ac:dyDescent="0.25">
      <c r="A641" s="2">
        <v>648</v>
      </c>
      <c r="B641" s="2" t="s">
        <v>40</v>
      </c>
      <c r="C641" s="2"/>
      <c r="D641" s="2"/>
      <c r="E641" s="2"/>
      <c r="F641" s="2"/>
      <c r="G641" s="2"/>
      <c r="H641" s="2"/>
      <c r="I641" s="2"/>
      <c r="J641" s="2"/>
      <c r="K641" s="451"/>
      <c r="L641" s="451"/>
      <c r="M641" s="451"/>
      <c r="N641" s="451"/>
      <c r="O641" s="451"/>
      <c r="P641" s="177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 t="str">
        <f t="shared" si="10"/>
        <v>NCL</v>
      </c>
    </row>
    <row r="642" spans="1:39" x14ac:dyDescent="0.25">
      <c r="A642">
        <v>649</v>
      </c>
      <c r="B642" t="s">
        <v>41</v>
      </c>
      <c r="P642" s="176"/>
      <c r="AM642" t="str">
        <f t="shared" si="10"/>
        <v>CL</v>
      </c>
    </row>
    <row r="643" spans="1:39" x14ac:dyDescent="0.25">
      <c r="A643">
        <v>650</v>
      </c>
      <c r="B643" t="s">
        <v>42</v>
      </c>
      <c r="P643" s="176"/>
      <c r="AM643" t="str">
        <f t="shared" si="10"/>
        <v>ACL</v>
      </c>
    </row>
    <row r="644" spans="1:39" x14ac:dyDescent="0.25">
      <c r="A644">
        <v>651</v>
      </c>
      <c r="B644" t="s">
        <v>43</v>
      </c>
      <c r="P644" s="176"/>
      <c r="AM644" t="str">
        <f t="shared" si="10"/>
        <v>SPCL</v>
      </c>
    </row>
    <row r="645" spans="1:39" x14ac:dyDescent="0.25">
      <c r="A645">
        <v>652</v>
      </c>
      <c r="B645" s="1" t="s">
        <v>44</v>
      </c>
      <c r="C645" s="1"/>
      <c r="D645" s="1"/>
      <c r="E645" s="1"/>
      <c r="F645" s="1"/>
      <c r="G645" s="1"/>
      <c r="H645" s="1"/>
      <c r="I645" s="1"/>
      <c r="J645" s="1"/>
      <c r="K645" s="452"/>
      <c r="L645" s="452"/>
      <c r="M645" s="452"/>
      <c r="N645" s="452"/>
      <c r="O645" s="452"/>
      <c r="P645" s="178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 t="str">
        <f t="shared" si="10"/>
        <v>SPACL</v>
      </c>
    </row>
    <row r="646" spans="1:39" x14ac:dyDescent="0.25">
      <c r="A646" s="2">
        <v>653</v>
      </c>
      <c r="B646" s="2" t="s">
        <v>40</v>
      </c>
      <c r="C646" s="2"/>
      <c r="D646" s="2"/>
      <c r="E646" s="2"/>
      <c r="F646" s="2"/>
      <c r="G646" s="2"/>
      <c r="H646" s="2"/>
      <c r="I646" s="2"/>
      <c r="J646" s="2"/>
      <c r="K646" s="451"/>
      <c r="L646" s="451"/>
      <c r="M646" s="451"/>
      <c r="N646" s="451"/>
      <c r="O646" s="451"/>
      <c r="P646" s="177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 t="str">
        <f t="shared" si="10"/>
        <v>NCL</v>
      </c>
    </row>
    <row r="647" spans="1:39" x14ac:dyDescent="0.25">
      <c r="A647">
        <v>654</v>
      </c>
      <c r="B647" t="s">
        <v>41</v>
      </c>
      <c r="P647" s="176"/>
      <c r="AM647" t="str">
        <f t="shared" si="10"/>
        <v>CL</v>
      </c>
    </row>
    <row r="648" spans="1:39" x14ac:dyDescent="0.25">
      <c r="A648">
        <v>655</v>
      </c>
      <c r="B648" t="s">
        <v>42</v>
      </c>
      <c r="P648" s="176"/>
      <c r="AM648" t="str">
        <f t="shared" si="10"/>
        <v>ACL</v>
      </c>
    </row>
    <row r="649" spans="1:39" x14ac:dyDescent="0.25">
      <c r="A649">
        <v>656</v>
      </c>
      <c r="B649" t="s">
        <v>43</v>
      </c>
      <c r="P649" s="176"/>
      <c r="AM649" t="str">
        <f t="shared" si="10"/>
        <v>SPCL</v>
      </c>
    </row>
    <row r="650" spans="1:39" x14ac:dyDescent="0.25">
      <c r="A650">
        <v>657</v>
      </c>
      <c r="B650" s="1" t="s">
        <v>44</v>
      </c>
      <c r="C650" s="1"/>
      <c r="D650" s="1"/>
      <c r="E650" s="1"/>
      <c r="F650" s="1"/>
      <c r="G650" s="1"/>
      <c r="H650" s="1"/>
      <c r="I650" s="1"/>
      <c r="J650" s="1"/>
      <c r="K650" s="452"/>
      <c r="L650" s="452"/>
      <c r="M650" s="452"/>
      <c r="N650" s="452"/>
      <c r="O650" s="452"/>
      <c r="P650" s="178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 t="str">
        <f t="shared" si="10"/>
        <v>SPACL</v>
      </c>
    </row>
    <row r="651" spans="1:39" x14ac:dyDescent="0.25">
      <c r="A651" s="2">
        <v>658</v>
      </c>
      <c r="B651" s="2" t="s">
        <v>40</v>
      </c>
      <c r="C651" s="2"/>
      <c r="D651" s="2"/>
      <c r="E651" s="2"/>
      <c r="F651" s="2"/>
      <c r="G651" s="2"/>
      <c r="H651" s="2"/>
      <c r="I651" s="2"/>
      <c r="J651" s="2"/>
      <c r="K651" s="451"/>
      <c r="L651" s="451"/>
      <c r="M651" s="451"/>
      <c r="N651" s="451"/>
      <c r="O651" s="451"/>
      <c r="P651" s="177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 t="str">
        <f t="shared" si="10"/>
        <v>NCL</v>
      </c>
    </row>
    <row r="652" spans="1:39" x14ac:dyDescent="0.25">
      <c r="A652">
        <v>659</v>
      </c>
      <c r="B652" t="s">
        <v>41</v>
      </c>
      <c r="P652" s="176"/>
      <c r="AM652" t="str">
        <f t="shared" si="10"/>
        <v>CL</v>
      </c>
    </row>
    <row r="653" spans="1:39" x14ac:dyDescent="0.25">
      <c r="A653">
        <v>660</v>
      </c>
      <c r="B653" t="s">
        <v>42</v>
      </c>
      <c r="P653" s="176"/>
      <c r="AM653" t="str">
        <f t="shared" si="10"/>
        <v>ACL</v>
      </c>
    </row>
    <row r="654" spans="1:39" x14ac:dyDescent="0.25">
      <c r="A654">
        <v>661</v>
      </c>
      <c r="B654" t="s">
        <v>43</v>
      </c>
      <c r="P654" s="176"/>
      <c r="AM654" t="str">
        <f t="shared" si="10"/>
        <v>SPCL</v>
      </c>
    </row>
    <row r="655" spans="1:39" x14ac:dyDescent="0.25">
      <c r="A655">
        <v>662</v>
      </c>
      <c r="B655" s="1" t="s">
        <v>44</v>
      </c>
      <c r="C655" s="1"/>
      <c r="D655" s="1"/>
      <c r="E655" s="1"/>
      <c r="F655" s="1"/>
      <c r="G655" s="1"/>
      <c r="H655" s="1"/>
      <c r="I655" s="1"/>
      <c r="J655" s="1"/>
      <c r="K655" s="452"/>
      <c r="L655" s="452"/>
      <c r="M655" s="452"/>
      <c r="N655" s="452"/>
      <c r="O655" s="452"/>
      <c r="P655" s="178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 t="str">
        <f t="shared" si="10"/>
        <v>SPACL</v>
      </c>
    </row>
    <row r="656" spans="1:39" x14ac:dyDescent="0.25">
      <c r="A656" s="2">
        <v>663</v>
      </c>
      <c r="B656" s="2" t="s">
        <v>40</v>
      </c>
      <c r="C656" s="2"/>
      <c r="D656" s="2"/>
      <c r="E656" s="2"/>
      <c r="F656" s="2"/>
      <c r="G656" s="2"/>
      <c r="H656" s="2"/>
      <c r="I656" s="2"/>
      <c r="J656" s="2"/>
      <c r="K656" s="451"/>
      <c r="L656" s="451"/>
      <c r="M656" s="451"/>
      <c r="N656" s="451"/>
      <c r="O656" s="451"/>
      <c r="P656" s="177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 t="str">
        <f t="shared" si="10"/>
        <v>NCL</v>
      </c>
    </row>
    <row r="657" spans="1:39" x14ac:dyDescent="0.25">
      <c r="A657">
        <v>664</v>
      </c>
      <c r="B657" t="s">
        <v>41</v>
      </c>
      <c r="P657" s="176"/>
      <c r="AM657" t="str">
        <f t="shared" si="10"/>
        <v>CL</v>
      </c>
    </row>
    <row r="658" spans="1:39" x14ac:dyDescent="0.25">
      <c r="A658">
        <v>665</v>
      </c>
      <c r="B658" t="s">
        <v>42</v>
      </c>
      <c r="P658" s="176"/>
      <c r="AM658" t="str">
        <f t="shared" si="10"/>
        <v>ACL</v>
      </c>
    </row>
    <row r="659" spans="1:39" x14ac:dyDescent="0.25">
      <c r="A659">
        <v>666</v>
      </c>
      <c r="B659" t="s">
        <v>43</v>
      </c>
      <c r="P659" s="176"/>
      <c r="AM659" t="str">
        <f t="shared" si="10"/>
        <v>SPCL</v>
      </c>
    </row>
    <row r="660" spans="1:39" x14ac:dyDescent="0.25">
      <c r="A660" s="1">
        <v>667</v>
      </c>
      <c r="B660" s="1" t="s">
        <v>44</v>
      </c>
      <c r="C660" s="1"/>
      <c r="D660" s="1"/>
      <c r="E660" s="1"/>
      <c r="F660" s="1"/>
      <c r="G660" s="1"/>
      <c r="H660" s="1"/>
      <c r="I660" s="1"/>
      <c r="J660" s="1"/>
      <c r="K660" s="452"/>
      <c r="L660" s="452"/>
      <c r="M660" s="452"/>
      <c r="N660" s="452"/>
      <c r="O660" s="452"/>
      <c r="P660" s="178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 t="str">
        <f t="shared" si="10"/>
        <v>SPACL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E9D96-B752-48F8-9E0F-FAA29200F7BE}">
  <dimension ref="A1:G6"/>
  <sheetViews>
    <sheetView workbookViewId="0">
      <selection activeCell="F7" sqref="F7"/>
    </sheetView>
  </sheetViews>
  <sheetFormatPr defaultRowHeight="15" x14ac:dyDescent="0.25"/>
  <cols>
    <col min="1" max="1" width="15.7109375" bestFit="1" customWidth="1"/>
    <col min="2" max="2" width="9.7109375" bestFit="1" customWidth="1"/>
    <col min="3" max="3" width="20.140625" style="219" bestFit="1" customWidth="1"/>
    <col min="4" max="4" width="19.5703125" style="219" bestFit="1" customWidth="1"/>
    <col min="5" max="5" width="18.42578125" style="219" bestFit="1" customWidth="1"/>
    <col min="6" max="6" width="17.85546875" style="219" bestFit="1" customWidth="1"/>
    <col min="7" max="7" width="8.28515625" style="219" bestFit="1" customWidth="1"/>
  </cols>
  <sheetData>
    <row r="1" spans="1:7" x14ac:dyDescent="0.25">
      <c r="A1" t="s">
        <v>97</v>
      </c>
      <c r="B1" t="s">
        <v>76</v>
      </c>
      <c r="C1" s="219" t="s">
        <v>9</v>
      </c>
      <c r="D1" s="219" t="s">
        <v>10</v>
      </c>
      <c r="E1" s="219" t="s">
        <v>11</v>
      </c>
      <c r="F1" s="219" t="s">
        <v>12</v>
      </c>
      <c r="G1" t="s">
        <v>98</v>
      </c>
    </row>
    <row r="2" spans="1:7" x14ac:dyDescent="0.25">
      <c r="A2">
        <v>1</v>
      </c>
      <c r="B2" t="s">
        <v>40</v>
      </c>
      <c r="C2" s="222">
        <v>92.827192982543849</v>
      </c>
      <c r="D2" s="453">
        <v>89.957456140701737</v>
      </c>
      <c r="E2" s="222">
        <v>84.928421052631577</v>
      </c>
      <c r="F2" s="454">
        <v>84.722368421052636</v>
      </c>
      <c r="G2">
        <v>38</v>
      </c>
    </row>
    <row r="3" spans="1:7" x14ac:dyDescent="0.25">
      <c r="A3">
        <v>2</v>
      </c>
      <c r="B3" t="s">
        <v>41</v>
      </c>
      <c r="C3" s="223">
        <v>88.280921052894726</v>
      </c>
      <c r="D3" s="223">
        <v>87.238377192982455</v>
      </c>
      <c r="E3" s="223">
        <v>81.236578947368415</v>
      </c>
      <c r="F3" s="223">
        <v>82.199999999999989</v>
      </c>
      <c r="G3">
        <v>38</v>
      </c>
    </row>
    <row r="4" spans="1:7" x14ac:dyDescent="0.25">
      <c r="A4">
        <v>3</v>
      </c>
      <c r="B4" t="s">
        <v>42</v>
      </c>
      <c r="C4" s="455">
        <v>95.287280701403503</v>
      </c>
      <c r="D4" s="225">
        <v>91.315350876929813</v>
      </c>
      <c r="E4" s="245">
        <v>87.457105263157899</v>
      </c>
      <c r="F4" s="225">
        <v>85.982368421052627</v>
      </c>
      <c r="G4">
        <v>38</v>
      </c>
    </row>
    <row r="5" spans="1:7" x14ac:dyDescent="0.25">
      <c r="A5">
        <v>4</v>
      </c>
      <c r="B5" t="s">
        <v>43</v>
      </c>
      <c r="C5" s="456">
        <v>89.885555554999996</v>
      </c>
      <c r="D5" s="457">
        <v>88.420277777999985</v>
      </c>
      <c r="E5" s="409">
        <v>82.056666666666672</v>
      </c>
      <c r="F5" s="458">
        <v>82.761666666666656</v>
      </c>
      <c r="G5">
        <v>30</v>
      </c>
    </row>
    <row r="6" spans="1:7" x14ac:dyDescent="0.25">
      <c r="A6">
        <v>5</v>
      </c>
      <c r="B6" t="s">
        <v>44</v>
      </c>
      <c r="C6" s="225">
        <v>99.501111111111101</v>
      </c>
      <c r="D6" s="222">
        <v>88.514444444222207</v>
      </c>
      <c r="E6" s="225">
        <v>90.004333333333335</v>
      </c>
      <c r="F6" s="222">
        <v>83.259333333333331</v>
      </c>
      <c r="G6">
        <v>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2A2-1486-4C83-970C-ECB59DD78A9C}">
  <dimension ref="A1:H26"/>
  <sheetViews>
    <sheetView workbookViewId="0">
      <selection activeCell="I19" sqref="I19"/>
    </sheetView>
  </sheetViews>
  <sheetFormatPr defaultRowHeight="15" x14ac:dyDescent="0.25"/>
  <cols>
    <col min="1" max="1" width="15.7109375" bestFit="1" customWidth="1"/>
    <col min="2" max="2" width="13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97</v>
      </c>
      <c r="B1" t="s">
        <v>76</v>
      </c>
      <c r="C1" t="s">
        <v>19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98</v>
      </c>
    </row>
    <row r="2" spans="1:8" x14ac:dyDescent="0.25">
      <c r="A2">
        <v>1</v>
      </c>
      <c r="B2" t="s">
        <v>40</v>
      </c>
      <c r="C2" t="s">
        <v>66</v>
      </c>
      <c r="D2" s="219">
        <v>93.364015152272728</v>
      </c>
      <c r="E2" s="219">
        <v>89.886363636515142</v>
      </c>
      <c r="F2" s="219">
        <v>85.450909090909093</v>
      </c>
      <c r="G2" s="219">
        <v>84.794090909090912</v>
      </c>
      <c r="H2">
        <v>22</v>
      </c>
    </row>
    <row r="3" spans="1:8" x14ac:dyDescent="0.25">
      <c r="A3">
        <v>1</v>
      </c>
      <c r="B3" t="s">
        <v>40</v>
      </c>
      <c r="C3" t="s">
        <v>64</v>
      </c>
      <c r="D3" s="219">
        <v>92.089062499166658</v>
      </c>
      <c r="E3" s="219">
        <v>90.055208333958319</v>
      </c>
      <c r="F3" s="219">
        <v>84.21</v>
      </c>
      <c r="G3" s="219">
        <v>84.623750000000001</v>
      </c>
      <c r="H3">
        <v>16</v>
      </c>
    </row>
    <row r="4" spans="1:8" x14ac:dyDescent="0.25">
      <c r="A4">
        <v>2</v>
      </c>
      <c r="B4" t="s">
        <v>41</v>
      </c>
      <c r="C4" t="s">
        <v>66</v>
      </c>
      <c r="D4" s="219">
        <v>88.466666667272719</v>
      </c>
      <c r="E4" s="219">
        <v>87.229924242424232</v>
      </c>
      <c r="F4" s="219">
        <v>81.720909090909089</v>
      </c>
      <c r="G4" s="219">
        <v>82.498636363636351</v>
      </c>
      <c r="H4">
        <v>22</v>
      </c>
    </row>
    <row r="5" spans="1:8" x14ac:dyDescent="0.25">
      <c r="A5">
        <v>2</v>
      </c>
      <c r="B5" t="s">
        <v>41</v>
      </c>
      <c r="C5" t="s">
        <v>64</v>
      </c>
      <c r="D5" s="219">
        <v>88.025520833125</v>
      </c>
      <c r="E5" s="219">
        <v>87.25</v>
      </c>
      <c r="F5" s="219">
        <v>80.570624999999993</v>
      </c>
      <c r="G5" s="219">
        <v>81.789374999999993</v>
      </c>
      <c r="H5">
        <v>16</v>
      </c>
    </row>
    <row r="6" spans="1:8" x14ac:dyDescent="0.25">
      <c r="A6">
        <v>3</v>
      </c>
      <c r="B6" t="s">
        <v>42</v>
      </c>
      <c r="C6" t="s">
        <v>66</v>
      </c>
      <c r="D6" s="219">
        <v>94.854545454242412</v>
      </c>
      <c r="E6" s="219">
        <v>91.344318181515135</v>
      </c>
      <c r="F6" s="219">
        <v>87.224999999999994</v>
      </c>
      <c r="G6" s="219">
        <v>86.13545454545455</v>
      </c>
      <c r="H6">
        <v>22</v>
      </c>
    </row>
    <row r="7" spans="1:8" x14ac:dyDescent="0.25">
      <c r="A7">
        <v>3</v>
      </c>
      <c r="B7" t="s">
        <v>42</v>
      </c>
      <c r="C7" t="s">
        <v>64</v>
      </c>
      <c r="D7" s="219">
        <v>95.882291666249998</v>
      </c>
      <c r="E7" s="219">
        <v>91.275520833125</v>
      </c>
      <c r="F7" s="219">
        <v>87.776250000000005</v>
      </c>
      <c r="G7" s="219">
        <v>85.771874999999994</v>
      </c>
      <c r="H7">
        <v>16</v>
      </c>
    </row>
    <row r="8" spans="1:8" x14ac:dyDescent="0.25">
      <c r="A8">
        <v>4</v>
      </c>
      <c r="B8" t="s">
        <v>43</v>
      </c>
      <c r="C8" t="s">
        <v>66</v>
      </c>
      <c r="D8" s="219">
        <v>88.9990740735185</v>
      </c>
      <c r="E8" s="219">
        <v>87.5754629637037</v>
      </c>
      <c r="F8" s="219">
        <v>81.814444444444447</v>
      </c>
      <c r="G8" s="219">
        <v>82.347222222222214</v>
      </c>
      <c r="H8">
        <v>18</v>
      </c>
    </row>
    <row r="9" spans="1:8" x14ac:dyDescent="0.25">
      <c r="A9">
        <v>4</v>
      </c>
      <c r="B9" t="s">
        <v>43</v>
      </c>
      <c r="C9" t="s">
        <v>64</v>
      </c>
      <c r="D9" s="219">
        <v>91.215277777222212</v>
      </c>
      <c r="E9" s="219">
        <v>89.687499999444441</v>
      </c>
      <c r="F9" s="219">
        <v>82.42</v>
      </c>
      <c r="G9" s="219">
        <v>83.383333333333326</v>
      </c>
      <c r="H9">
        <v>12</v>
      </c>
    </row>
    <row r="10" spans="1:8" x14ac:dyDescent="0.25">
      <c r="A10">
        <v>5</v>
      </c>
      <c r="B10" t="s">
        <v>44</v>
      </c>
      <c r="C10" t="s">
        <v>66</v>
      </c>
      <c r="D10" s="219">
        <v>99.527314814814801</v>
      </c>
      <c r="E10" s="219">
        <v>88.20694444425925</v>
      </c>
      <c r="F10" s="219">
        <v>90.24944444444445</v>
      </c>
      <c r="G10" s="219">
        <v>83.220555555555549</v>
      </c>
      <c r="H10">
        <v>18</v>
      </c>
    </row>
    <row r="11" spans="1:8" x14ac:dyDescent="0.25">
      <c r="A11">
        <v>5</v>
      </c>
      <c r="B11" t="s">
        <v>44</v>
      </c>
      <c r="C11" t="s">
        <v>64</v>
      </c>
      <c r="D11" s="219">
        <v>99.461805555555543</v>
      </c>
      <c r="E11" s="219">
        <v>88.975694444166663</v>
      </c>
      <c r="F11" s="219">
        <v>89.636666666666656</v>
      </c>
      <c r="G11" s="219">
        <v>83.317499999999995</v>
      </c>
      <c r="H11">
        <v>12</v>
      </c>
    </row>
    <row r="19" spans="1:6" x14ac:dyDescent="0.25">
      <c r="A19" s="477" t="s">
        <v>104</v>
      </c>
      <c r="B19" s="478"/>
      <c r="C19" s="478"/>
      <c r="D19" s="478"/>
      <c r="E19" s="478"/>
      <c r="F19" s="479"/>
    </row>
    <row r="20" spans="1:6" x14ac:dyDescent="0.25">
      <c r="A20" s="463" t="s">
        <v>97</v>
      </c>
      <c r="B20" s="460" t="s">
        <v>76</v>
      </c>
      <c r="C20" s="219" t="s">
        <v>99</v>
      </c>
      <c r="D20" s="219" t="s">
        <v>100</v>
      </c>
      <c r="E20" s="219" t="s">
        <v>101</v>
      </c>
      <c r="F20" s="460" t="s">
        <v>102</v>
      </c>
    </row>
    <row r="21" spans="1:6" x14ac:dyDescent="0.25">
      <c r="A21" s="177">
        <v>1</v>
      </c>
      <c r="B21" s="218" t="s">
        <v>40</v>
      </c>
      <c r="C21" s="459">
        <v>1.2749526531060695</v>
      </c>
      <c r="D21" s="459">
        <v>-0.16884469744317698</v>
      </c>
      <c r="E21" s="459">
        <v>1.2409090909090992</v>
      </c>
      <c r="F21" s="464">
        <v>0.17034090909091049</v>
      </c>
    </row>
    <row r="22" spans="1:6" x14ac:dyDescent="0.25">
      <c r="A22" s="176">
        <v>2</v>
      </c>
      <c r="B22" s="216" t="s">
        <v>41</v>
      </c>
      <c r="C22" s="461">
        <v>0.44114583414771857</v>
      </c>
      <c r="D22" s="461">
        <v>-2.0075757575767739E-2</v>
      </c>
      <c r="E22" s="461">
        <v>1.1502840909090963</v>
      </c>
      <c r="F22" s="465">
        <v>0.70926136363635806</v>
      </c>
    </row>
    <row r="23" spans="1:6" x14ac:dyDescent="0.25">
      <c r="A23" s="176">
        <v>3</v>
      </c>
      <c r="B23" s="216" t="s">
        <v>42</v>
      </c>
      <c r="C23" s="461">
        <v>-1.0277462120075853</v>
      </c>
      <c r="D23" s="461">
        <v>6.8797348390134516E-2</v>
      </c>
      <c r="E23" s="461">
        <v>-0.55125000000001023</v>
      </c>
      <c r="F23" s="465">
        <v>0.36357954545455584</v>
      </c>
    </row>
    <row r="24" spans="1:6" x14ac:dyDescent="0.25">
      <c r="A24" s="176">
        <v>4</v>
      </c>
      <c r="B24" s="216" t="s">
        <v>43</v>
      </c>
      <c r="C24" s="461">
        <v>-2.2162037037037123</v>
      </c>
      <c r="D24" s="461">
        <v>-2.112037035740741</v>
      </c>
      <c r="E24" s="461">
        <v>-0.60555555555555429</v>
      </c>
      <c r="F24" s="465">
        <v>-1.0361111111111114</v>
      </c>
    </row>
    <row r="25" spans="1:6" x14ac:dyDescent="0.25">
      <c r="A25" s="178">
        <v>5</v>
      </c>
      <c r="B25" s="217" t="s">
        <v>44</v>
      </c>
      <c r="C25" s="462">
        <v>6.5509259259258101E-2</v>
      </c>
      <c r="D25" s="462">
        <v>-0.76874999990741344</v>
      </c>
      <c r="E25" s="462">
        <v>0.61277777777779363</v>
      </c>
      <c r="F25" s="466">
        <v>-9.6944444444446276E-2</v>
      </c>
    </row>
    <row r="26" spans="1:6" x14ac:dyDescent="0.25">
      <c r="A26" s="467">
        <v>99</v>
      </c>
      <c r="B26" s="468" t="s">
        <v>103</v>
      </c>
      <c r="C26" s="469">
        <v>-0.29246843383965038</v>
      </c>
      <c r="D26" s="469">
        <v>-0.60018202845539292</v>
      </c>
      <c r="E26" s="469">
        <v>0.3694330808080849</v>
      </c>
      <c r="F26" s="470">
        <v>2.2025252525253336E-2</v>
      </c>
    </row>
  </sheetData>
  <mergeCells count="1">
    <mergeCell ref="A19:F19"/>
  </mergeCells>
  <conditionalFormatting sqref="C21:F26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D1913-E07B-4CDA-BBCC-B828E3B11B9E}">
  <dimension ref="A1:H26"/>
  <sheetViews>
    <sheetView workbookViewId="0">
      <selection activeCell="G30" sqref="G30"/>
    </sheetView>
  </sheetViews>
  <sheetFormatPr defaultRowHeight="15" x14ac:dyDescent="0.25"/>
  <cols>
    <col min="1" max="1" width="15.7109375" bestFit="1" customWidth="1"/>
    <col min="2" max="2" width="13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97</v>
      </c>
      <c r="B1" t="s">
        <v>76</v>
      </c>
      <c r="C1" t="s">
        <v>24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98</v>
      </c>
    </row>
    <row r="2" spans="1:8" x14ac:dyDescent="0.25">
      <c r="A2">
        <v>1</v>
      </c>
      <c r="B2" t="s">
        <v>40</v>
      </c>
      <c r="C2" t="b">
        <v>1</v>
      </c>
      <c r="D2" s="219">
        <v>94.155701754561406</v>
      </c>
      <c r="E2" s="219">
        <v>91.841228070175418</v>
      </c>
      <c r="F2" s="219">
        <v>85.532631578947374</v>
      </c>
      <c r="G2" s="219">
        <v>85.722105263157886</v>
      </c>
      <c r="H2">
        <v>19</v>
      </c>
    </row>
    <row r="3" spans="1:8" x14ac:dyDescent="0.25">
      <c r="A3">
        <v>1</v>
      </c>
      <c r="B3" t="s">
        <v>40</v>
      </c>
      <c r="C3" t="b">
        <v>0</v>
      </c>
      <c r="D3" s="219">
        <v>91.498684210526307</v>
      </c>
      <c r="E3" s="219">
        <v>88.07368421122807</v>
      </c>
      <c r="F3" s="219">
        <v>84.324210526315795</v>
      </c>
      <c r="G3" s="219">
        <v>83.722631578947372</v>
      </c>
      <c r="H3">
        <v>19</v>
      </c>
    </row>
    <row r="4" spans="1:8" x14ac:dyDescent="0.25">
      <c r="A4">
        <v>2</v>
      </c>
      <c r="B4" t="s">
        <v>41</v>
      </c>
      <c r="C4" t="b">
        <v>1</v>
      </c>
      <c r="D4" s="219">
        <v>90.896491228596474</v>
      </c>
      <c r="E4" s="219">
        <v>89.787280701578936</v>
      </c>
      <c r="F4" s="219">
        <v>82.949473684210517</v>
      </c>
      <c r="G4" s="219">
        <v>83.733684210526292</v>
      </c>
      <c r="H4">
        <v>19</v>
      </c>
    </row>
    <row r="5" spans="1:8" x14ac:dyDescent="0.25">
      <c r="A5">
        <v>2</v>
      </c>
      <c r="B5" t="s">
        <v>41</v>
      </c>
      <c r="C5" t="b">
        <v>0</v>
      </c>
      <c r="D5" s="219">
        <v>85.665350877192978</v>
      </c>
      <c r="E5" s="219">
        <v>84.689473684385959</v>
      </c>
      <c r="F5" s="219">
        <v>79.523684210526312</v>
      </c>
      <c r="G5" s="219">
        <v>80.666315789473686</v>
      </c>
      <c r="H5">
        <v>19</v>
      </c>
    </row>
    <row r="6" spans="1:8" x14ac:dyDescent="0.25">
      <c r="A6">
        <v>3</v>
      </c>
      <c r="B6" t="s">
        <v>42</v>
      </c>
      <c r="C6" t="b">
        <v>1</v>
      </c>
      <c r="D6" s="219">
        <v>95.401754385438593</v>
      </c>
      <c r="E6" s="219">
        <v>92.354824561228057</v>
      </c>
      <c r="F6" s="219">
        <v>87.101578947368409</v>
      </c>
      <c r="G6" s="219">
        <v>86.410526315789468</v>
      </c>
      <c r="H6">
        <v>19</v>
      </c>
    </row>
    <row r="7" spans="1:8" x14ac:dyDescent="0.25">
      <c r="A7">
        <v>3</v>
      </c>
      <c r="B7" t="s">
        <v>42</v>
      </c>
      <c r="C7" t="b">
        <v>0</v>
      </c>
      <c r="D7" s="219">
        <v>95.172807017368413</v>
      </c>
      <c r="E7" s="219">
        <v>90.275877192631569</v>
      </c>
      <c r="F7" s="219">
        <v>87.812631578947361</v>
      </c>
      <c r="G7" s="219">
        <v>85.554210526315785</v>
      </c>
      <c r="H7">
        <v>19</v>
      </c>
    </row>
    <row r="8" spans="1:8" x14ac:dyDescent="0.25">
      <c r="A8">
        <v>4</v>
      </c>
      <c r="B8" t="s">
        <v>43</v>
      </c>
      <c r="C8" t="b">
        <v>1</v>
      </c>
      <c r="D8" s="219">
        <v>91.660416666041655</v>
      </c>
      <c r="E8" s="219">
        <v>90.540625000208323</v>
      </c>
      <c r="F8" s="219">
        <v>82.945624999999993</v>
      </c>
      <c r="G8" s="219">
        <v>83.669374999999988</v>
      </c>
      <c r="H8">
        <v>16</v>
      </c>
    </row>
    <row r="9" spans="1:8" x14ac:dyDescent="0.25">
      <c r="A9">
        <v>4</v>
      </c>
      <c r="B9" t="s">
        <v>43</v>
      </c>
      <c r="C9" t="b">
        <v>0</v>
      </c>
      <c r="D9" s="219">
        <v>87.857142856666655</v>
      </c>
      <c r="E9" s="219">
        <v>85.997023809761899</v>
      </c>
      <c r="F9" s="219">
        <v>81.040714285714287</v>
      </c>
      <c r="G9" s="219">
        <v>81.724285714285713</v>
      </c>
      <c r="H9">
        <v>14</v>
      </c>
    </row>
    <row r="10" spans="1:8" x14ac:dyDescent="0.25">
      <c r="A10">
        <v>5</v>
      </c>
      <c r="B10" t="s">
        <v>44</v>
      </c>
      <c r="C10" t="b">
        <v>1</v>
      </c>
      <c r="D10" s="219">
        <v>99.520312500416651</v>
      </c>
      <c r="E10" s="219">
        <v>91.863020833124978</v>
      </c>
      <c r="F10" s="219">
        <v>90.14</v>
      </c>
      <c r="G10" s="219">
        <v>85.428749999999994</v>
      </c>
      <c r="H10">
        <v>16</v>
      </c>
    </row>
    <row r="11" spans="1:8" x14ac:dyDescent="0.25">
      <c r="A11">
        <v>5</v>
      </c>
      <c r="B11" t="s">
        <v>44</v>
      </c>
      <c r="C11" t="b">
        <v>0</v>
      </c>
      <c r="D11" s="219">
        <v>99.479166666190466</v>
      </c>
      <c r="E11" s="219">
        <v>84.687499999761897</v>
      </c>
      <c r="F11" s="219">
        <v>89.849285714285713</v>
      </c>
      <c r="G11" s="219">
        <v>80.78</v>
      </c>
      <c r="H11">
        <v>14</v>
      </c>
    </row>
    <row r="19" spans="1:6" x14ac:dyDescent="0.25">
      <c r="A19" s="477" t="s">
        <v>105</v>
      </c>
      <c r="B19" s="478"/>
      <c r="C19" s="478"/>
      <c r="D19" s="478"/>
      <c r="E19" s="478"/>
      <c r="F19" s="479"/>
    </row>
    <row r="20" spans="1:6" x14ac:dyDescent="0.25">
      <c r="A20" s="471" t="s">
        <v>97</v>
      </c>
      <c r="B20" s="473" t="s">
        <v>76</v>
      </c>
      <c r="C20" s="472" t="s">
        <v>99</v>
      </c>
      <c r="D20" s="472" t="s">
        <v>100</v>
      </c>
      <c r="E20" s="472" t="s">
        <v>101</v>
      </c>
      <c r="F20" s="473" t="s">
        <v>102</v>
      </c>
    </row>
    <row r="21" spans="1:6" x14ac:dyDescent="0.25">
      <c r="A21" s="176">
        <v>1</v>
      </c>
      <c r="B21" s="216" t="s">
        <v>40</v>
      </c>
      <c r="C21" s="474">
        <v>2.6570175440350994</v>
      </c>
      <c r="D21" s="459">
        <v>3.7675438589473487</v>
      </c>
      <c r="E21" s="459">
        <v>1.2084210526315786</v>
      </c>
      <c r="F21" s="464">
        <v>1.9994736842105141</v>
      </c>
    </row>
    <row r="22" spans="1:6" x14ac:dyDescent="0.25">
      <c r="A22" s="176">
        <v>2</v>
      </c>
      <c r="B22" s="216" t="s">
        <v>41</v>
      </c>
      <c r="C22" s="475">
        <v>5.2311403514034964</v>
      </c>
      <c r="D22" s="461">
        <v>5.0978070171929772</v>
      </c>
      <c r="E22" s="461">
        <v>3.4257894736842047</v>
      </c>
      <c r="F22" s="465">
        <v>3.0673684210526062</v>
      </c>
    </row>
    <row r="23" spans="1:6" x14ac:dyDescent="0.25">
      <c r="A23" s="176">
        <v>3</v>
      </c>
      <c r="B23" s="216" t="s">
        <v>42</v>
      </c>
      <c r="C23" s="475">
        <v>0.22894736807018035</v>
      </c>
      <c r="D23" s="461">
        <v>2.0789473685964879</v>
      </c>
      <c r="E23" s="461">
        <v>-0.71105263157895138</v>
      </c>
      <c r="F23" s="465">
        <v>0.85631578947368325</v>
      </c>
    </row>
    <row r="24" spans="1:6" x14ac:dyDescent="0.25">
      <c r="A24" s="176">
        <v>4</v>
      </c>
      <c r="B24" s="216" t="s">
        <v>43</v>
      </c>
      <c r="C24" s="475">
        <v>3.8032738093749998</v>
      </c>
      <c r="D24" s="461">
        <v>4.5436011904464237</v>
      </c>
      <c r="E24" s="461">
        <v>1.9049107142857054</v>
      </c>
      <c r="F24" s="465">
        <v>1.9450892857142748</v>
      </c>
    </row>
    <row r="25" spans="1:6" x14ac:dyDescent="0.25">
      <c r="A25" s="176">
        <v>5</v>
      </c>
      <c r="B25" s="216" t="s">
        <v>44</v>
      </c>
      <c r="C25" s="475">
        <v>4.1145834226185229E-2</v>
      </c>
      <c r="D25" s="461">
        <v>7.1755208333630804</v>
      </c>
      <c r="E25" s="461">
        <v>0.29071428571428726</v>
      </c>
      <c r="F25" s="465">
        <v>4.6487499999999926</v>
      </c>
    </row>
    <row r="26" spans="1:6" x14ac:dyDescent="0.25">
      <c r="A26" s="467">
        <v>99</v>
      </c>
      <c r="B26" s="468" t="s">
        <v>103</v>
      </c>
      <c r="C26" s="476">
        <v>2.3923049814219923</v>
      </c>
      <c r="D26" s="469">
        <v>4.5326840537092634</v>
      </c>
      <c r="E26" s="469">
        <v>1.223756578947365</v>
      </c>
      <c r="F26" s="470">
        <v>2.5033994360902141</v>
      </c>
    </row>
  </sheetData>
  <mergeCells count="1">
    <mergeCell ref="A19:F19"/>
  </mergeCells>
  <conditionalFormatting sqref="C21:F26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A825-B0F8-4B4E-85A5-DD91E11914C7}">
  <dimension ref="A1:H26"/>
  <sheetViews>
    <sheetView workbookViewId="0">
      <selection activeCell="J22" sqref="J22"/>
    </sheetView>
  </sheetViews>
  <sheetFormatPr defaultRowHeight="15" x14ac:dyDescent="0.25"/>
  <cols>
    <col min="1" max="1" width="15.7109375" bestFit="1" customWidth="1"/>
    <col min="2" max="2" width="13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97</v>
      </c>
      <c r="B1" t="s">
        <v>76</v>
      </c>
      <c r="C1" t="s">
        <v>78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98</v>
      </c>
    </row>
    <row r="2" spans="1:8" x14ac:dyDescent="0.25">
      <c r="A2">
        <v>1</v>
      </c>
      <c r="B2" t="s">
        <v>40</v>
      </c>
      <c r="C2" t="s">
        <v>38</v>
      </c>
      <c r="D2" s="219">
        <v>93.261666666799997</v>
      </c>
      <c r="E2" s="219">
        <v>90.068000000133324</v>
      </c>
      <c r="F2" s="219">
        <v>85.148799999999994</v>
      </c>
      <c r="G2" s="219">
        <v>84.678799999999995</v>
      </c>
      <c r="H2">
        <v>25</v>
      </c>
    </row>
    <row r="3" spans="1:8" x14ac:dyDescent="0.25">
      <c r="A3">
        <v>1</v>
      </c>
      <c r="B3" t="s">
        <v>40</v>
      </c>
      <c r="C3" t="s">
        <v>74</v>
      </c>
      <c r="D3" s="219">
        <v>91.99166666666666</v>
      </c>
      <c r="E3" s="219">
        <v>89.744871795641004</v>
      </c>
      <c r="F3" s="219">
        <v>84.504615384615391</v>
      </c>
      <c r="G3" s="219">
        <v>84.806153846153848</v>
      </c>
      <c r="H3">
        <v>13</v>
      </c>
    </row>
    <row r="4" spans="1:8" x14ac:dyDescent="0.25">
      <c r="A4">
        <v>2</v>
      </c>
      <c r="B4" t="s">
        <v>41</v>
      </c>
      <c r="C4" t="s">
        <v>38</v>
      </c>
      <c r="D4" s="219">
        <v>88.480666667066657</v>
      </c>
      <c r="E4" s="219">
        <v>87.387000000399993</v>
      </c>
      <c r="F4" s="219">
        <v>81.391599999999997</v>
      </c>
      <c r="G4" s="219">
        <v>82.103599999999986</v>
      </c>
      <c r="H4">
        <v>25</v>
      </c>
    </row>
    <row r="5" spans="1:8" x14ac:dyDescent="0.25">
      <c r="A5">
        <v>2</v>
      </c>
      <c r="B5" t="s">
        <v>41</v>
      </c>
      <c r="C5" t="s">
        <v>74</v>
      </c>
      <c r="D5" s="219">
        <v>87.896794871794867</v>
      </c>
      <c r="E5" s="219">
        <v>86.952564101794863</v>
      </c>
      <c r="F5" s="219">
        <v>80.938461538461539</v>
      </c>
      <c r="G5" s="219">
        <v>82.385384615384609</v>
      </c>
      <c r="H5">
        <v>13</v>
      </c>
    </row>
    <row r="6" spans="1:8" x14ac:dyDescent="0.25">
      <c r="A6">
        <v>3</v>
      </c>
      <c r="B6" t="s">
        <v>42</v>
      </c>
      <c r="C6" t="s">
        <v>38</v>
      </c>
      <c r="D6" s="219">
        <v>95.498333333333335</v>
      </c>
      <c r="E6" s="219">
        <v>91.618666666266662</v>
      </c>
      <c r="F6" s="219">
        <v>87.600799999999992</v>
      </c>
      <c r="G6" s="219">
        <v>86.096000000000004</v>
      </c>
      <c r="H6">
        <v>25</v>
      </c>
    </row>
    <row r="7" spans="1:8" x14ac:dyDescent="0.25">
      <c r="A7">
        <v>3</v>
      </c>
      <c r="B7" t="s">
        <v>42</v>
      </c>
      <c r="C7" t="s">
        <v>74</v>
      </c>
      <c r="D7" s="219">
        <v>94.881410255384608</v>
      </c>
      <c r="E7" s="219">
        <v>90.732051282051273</v>
      </c>
      <c r="F7" s="219">
        <v>87.180769230769229</v>
      </c>
      <c r="G7" s="219">
        <v>85.763846153846146</v>
      </c>
      <c r="H7">
        <v>13</v>
      </c>
    </row>
    <row r="8" spans="1:8" x14ac:dyDescent="0.25">
      <c r="A8">
        <v>4</v>
      </c>
      <c r="B8" t="s">
        <v>43</v>
      </c>
      <c r="C8" t="s">
        <v>38</v>
      </c>
      <c r="D8" s="219">
        <v>89.531481481111101</v>
      </c>
      <c r="E8" s="219">
        <v>88.223611111481475</v>
      </c>
      <c r="F8" s="219">
        <v>81.62833333333333</v>
      </c>
      <c r="G8" s="219">
        <v>82.226666666666659</v>
      </c>
      <c r="H8">
        <v>18</v>
      </c>
    </row>
    <row r="9" spans="1:8" x14ac:dyDescent="0.25">
      <c r="A9">
        <v>4</v>
      </c>
      <c r="B9" t="s">
        <v>43</v>
      </c>
      <c r="C9" t="s">
        <v>74</v>
      </c>
      <c r="D9" s="219">
        <v>90.416666665833333</v>
      </c>
      <c r="E9" s="219">
        <v>88.715277777777757</v>
      </c>
      <c r="F9" s="219">
        <v>82.69916666666667</v>
      </c>
      <c r="G9" s="219">
        <v>83.564166666666651</v>
      </c>
      <c r="H9">
        <v>12</v>
      </c>
    </row>
    <row r="10" spans="1:8" x14ac:dyDescent="0.25">
      <c r="A10">
        <v>5</v>
      </c>
      <c r="B10" t="s">
        <v>44</v>
      </c>
      <c r="C10" t="s">
        <v>38</v>
      </c>
      <c r="D10" s="219">
        <v>99.538888889444436</v>
      </c>
      <c r="E10" s="219">
        <v>89.375925925925912</v>
      </c>
      <c r="F10" s="219">
        <v>89.737777777777779</v>
      </c>
      <c r="G10" s="219">
        <v>83.594999999999999</v>
      </c>
      <c r="H10">
        <v>18</v>
      </c>
    </row>
    <row r="11" spans="1:8" x14ac:dyDescent="0.25">
      <c r="A11">
        <v>5</v>
      </c>
      <c r="B11" t="s">
        <v>44</v>
      </c>
      <c r="C11" t="s">
        <v>74</v>
      </c>
      <c r="D11" s="219">
        <v>99.444444443611104</v>
      </c>
      <c r="E11" s="219">
        <v>87.222222221666655</v>
      </c>
      <c r="F11" s="219">
        <v>90.404166666666654</v>
      </c>
      <c r="G11" s="219">
        <v>82.755833333333328</v>
      </c>
      <c r="H11">
        <v>12</v>
      </c>
    </row>
    <row r="19" spans="1:6" x14ac:dyDescent="0.25">
      <c r="A19" s="477" t="s">
        <v>106</v>
      </c>
      <c r="B19" s="478"/>
      <c r="C19" s="478"/>
      <c r="D19" s="478"/>
      <c r="E19" s="478"/>
      <c r="F19" s="479"/>
    </row>
    <row r="20" spans="1:6" x14ac:dyDescent="0.25">
      <c r="A20" s="471" t="s">
        <v>97</v>
      </c>
      <c r="B20" s="473" t="s">
        <v>76</v>
      </c>
      <c r="C20" s="471" t="s">
        <v>99</v>
      </c>
      <c r="D20" s="472" t="s">
        <v>100</v>
      </c>
      <c r="E20" s="472" t="s">
        <v>101</v>
      </c>
      <c r="F20" s="473" t="s">
        <v>102</v>
      </c>
    </row>
    <row r="21" spans="1:6" x14ac:dyDescent="0.25">
      <c r="A21" s="176">
        <v>1</v>
      </c>
      <c r="B21" s="216" t="s">
        <v>40</v>
      </c>
      <c r="C21" s="475">
        <v>1.2700000001333365</v>
      </c>
      <c r="D21" s="461">
        <v>0.32312820449232049</v>
      </c>
      <c r="E21" s="461">
        <v>0.64418461538460292</v>
      </c>
      <c r="F21" s="465">
        <v>-0.12735384615385215</v>
      </c>
    </row>
    <row r="22" spans="1:6" x14ac:dyDescent="0.25">
      <c r="A22" s="176">
        <v>2</v>
      </c>
      <c r="B22" s="216" t="s">
        <v>41</v>
      </c>
      <c r="C22" s="475">
        <v>0.58387179527179001</v>
      </c>
      <c r="D22" s="461">
        <v>0.43443589860513043</v>
      </c>
      <c r="E22" s="461">
        <v>0.45313846153845816</v>
      </c>
      <c r="F22" s="465">
        <v>-0.28178461538462329</v>
      </c>
    </row>
    <row r="23" spans="1:6" x14ac:dyDescent="0.25">
      <c r="A23" s="176">
        <v>3</v>
      </c>
      <c r="B23" s="216" t="s">
        <v>42</v>
      </c>
      <c r="C23" s="475">
        <v>0.61692307794872647</v>
      </c>
      <c r="D23" s="461">
        <v>0.88661538421538921</v>
      </c>
      <c r="E23" s="461">
        <v>0.42003076923076321</v>
      </c>
      <c r="F23" s="465">
        <v>0.33215384615385801</v>
      </c>
    </row>
    <row r="24" spans="1:6" x14ac:dyDescent="0.25">
      <c r="A24" s="176">
        <v>4</v>
      </c>
      <c r="B24" s="216" t="s">
        <v>43</v>
      </c>
      <c r="C24" s="475">
        <v>-0.88518518472223207</v>
      </c>
      <c r="D24" s="461">
        <v>-0.49166666629628253</v>
      </c>
      <c r="E24" s="461">
        <v>-1.07083333333334</v>
      </c>
      <c r="F24" s="465">
        <v>-1.3374999999999915</v>
      </c>
    </row>
    <row r="25" spans="1:6" x14ac:dyDescent="0.25">
      <c r="A25" s="176">
        <v>5</v>
      </c>
      <c r="B25" s="216" t="s">
        <v>44</v>
      </c>
      <c r="C25" s="475">
        <v>9.4444445833332225E-2</v>
      </c>
      <c r="D25" s="461">
        <v>2.1537037042592573</v>
      </c>
      <c r="E25" s="461">
        <v>-0.66638888888887493</v>
      </c>
      <c r="F25" s="465">
        <v>0.83916666666667084</v>
      </c>
    </row>
    <row r="26" spans="1:6" x14ac:dyDescent="0.25">
      <c r="A26" s="467">
        <v>99</v>
      </c>
      <c r="B26" s="468" t="s">
        <v>103</v>
      </c>
      <c r="C26" s="476">
        <v>0.33601082689299067</v>
      </c>
      <c r="D26" s="469">
        <v>0.66124330505516293</v>
      </c>
      <c r="E26" s="469">
        <v>-4.3973675213678121E-2</v>
      </c>
      <c r="F26" s="470">
        <v>-0.11506358974358762</v>
      </c>
    </row>
  </sheetData>
  <mergeCells count="1">
    <mergeCell ref="A19:F19"/>
  </mergeCells>
  <conditionalFormatting sqref="C21:F2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D17C-6A0F-4136-8FE3-189C7C8EE81E}">
  <dimension ref="A1:J24"/>
  <sheetViews>
    <sheetView workbookViewId="0">
      <selection activeCell="E32" sqref="E32"/>
    </sheetView>
  </sheetViews>
  <sheetFormatPr defaultRowHeight="15" x14ac:dyDescent="0.25"/>
  <cols>
    <col min="1" max="1" width="15.7109375" bestFit="1" customWidth="1"/>
    <col min="2" max="2" width="9.7109375" bestFit="1" customWidth="1"/>
    <col min="3" max="3" width="34.42578125" bestFit="1" customWidth="1"/>
    <col min="4" max="4" width="34.42578125" style="219" bestFit="1" customWidth="1"/>
    <col min="5" max="5" width="20.140625" style="219" bestFit="1" customWidth="1"/>
    <col min="6" max="6" width="19.5703125" style="219" bestFit="1" customWidth="1"/>
    <col min="7" max="7" width="18.42578125" style="219" bestFit="1" customWidth="1"/>
    <col min="8" max="8" width="17.85546875" style="219" customWidth="1"/>
    <col min="9" max="10" width="8.28515625" style="219" bestFit="1" customWidth="1"/>
  </cols>
  <sheetData>
    <row r="1" spans="1:10" x14ac:dyDescent="0.25">
      <c r="A1" t="s">
        <v>97</v>
      </c>
      <c r="B1" t="s">
        <v>76</v>
      </c>
      <c r="C1" t="s">
        <v>110</v>
      </c>
      <c r="D1" t="s">
        <v>111</v>
      </c>
      <c r="E1" s="219" t="s">
        <v>9</v>
      </c>
      <c r="F1" s="219" t="s">
        <v>10</v>
      </c>
      <c r="G1" s="219" t="s">
        <v>11</v>
      </c>
      <c r="H1" s="219" t="s">
        <v>12</v>
      </c>
      <c r="I1" t="s">
        <v>98</v>
      </c>
      <c r="J1"/>
    </row>
    <row r="2" spans="1:10" x14ac:dyDescent="0.25">
      <c r="A2">
        <v>1</v>
      </c>
      <c r="B2" s="491" t="s">
        <v>40</v>
      </c>
      <c r="C2" s="491" t="s">
        <v>69</v>
      </c>
      <c r="D2" s="491" t="s">
        <v>112</v>
      </c>
      <c r="E2" s="219">
        <v>91.791666666333327</v>
      </c>
      <c r="F2" s="219">
        <v>89.18750000066666</v>
      </c>
      <c r="G2" s="219">
        <v>83.25200000000001</v>
      </c>
      <c r="H2" s="219">
        <v>83.673000000000002</v>
      </c>
      <c r="I2">
        <v>10</v>
      </c>
      <c r="J2"/>
    </row>
    <row r="3" spans="1:10" x14ac:dyDescent="0.25">
      <c r="A3">
        <v>1</v>
      </c>
      <c r="B3" s="491" t="s">
        <v>40</v>
      </c>
      <c r="C3" s="491" t="s">
        <v>34</v>
      </c>
      <c r="D3" s="491" t="s">
        <v>34</v>
      </c>
      <c r="E3" s="219">
        <v>94.671875000833325</v>
      </c>
      <c r="F3" s="219">
        <v>91.660416666666649</v>
      </c>
      <c r="G3" s="219">
        <v>85.51</v>
      </c>
      <c r="H3" s="219">
        <v>84.476249999999993</v>
      </c>
      <c r="I3">
        <v>8</v>
      </c>
      <c r="J3"/>
    </row>
    <row r="4" spans="1:10" x14ac:dyDescent="0.25">
      <c r="A4">
        <v>1</v>
      </c>
      <c r="B4" s="491" t="s">
        <v>40</v>
      </c>
      <c r="C4" s="491" t="s">
        <v>107</v>
      </c>
      <c r="D4" s="491" t="s">
        <v>108</v>
      </c>
      <c r="E4" s="219">
        <v>90.7</v>
      </c>
      <c r="F4" s="219">
        <v>88.449999999999989</v>
      </c>
      <c r="G4" s="219">
        <v>85.292500000000004</v>
      </c>
      <c r="H4" s="219">
        <v>84.534999999999997</v>
      </c>
      <c r="I4">
        <v>4</v>
      </c>
      <c r="J4"/>
    </row>
    <row r="5" spans="1:10" x14ac:dyDescent="0.25">
      <c r="A5">
        <v>1</v>
      </c>
      <c r="B5" s="491" t="s">
        <v>40</v>
      </c>
      <c r="C5" s="491" t="s">
        <v>33</v>
      </c>
      <c r="D5" s="491" t="s">
        <v>33</v>
      </c>
      <c r="E5" s="219">
        <v>93.327777778888887</v>
      </c>
      <c r="F5" s="219">
        <v>89.174999999999997</v>
      </c>
      <c r="G5" s="219">
        <v>87.441666666666663</v>
      </c>
      <c r="H5" s="219">
        <v>86.978333333333325</v>
      </c>
      <c r="I5">
        <v>6</v>
      </c>
      <c r="J5"/>
    </row>
    <row r="6" spans="1:10" x14ac:dyDescent="0.25">
      <c r="A6">
        <v>1</v>
      </c>
      <c r="B6" s="491" t="s">
        <v>40</v>
      </c>
      <c r="C6" s="491" t="s">
        <v>62</v>
      </c>
      <c r="D6" s="491" t="s">
        <v>112</v>
      </c>
      <c r="E6" s="219">
        <v>92.937499999333326</v>
      </c>
      <c r="F6" s="219">
        <v>90.437500000666645</v>
      </c>
      <c r="G6" s="219">
        <v>84.486000000000004</v>
      </c>
      <c r="H6" s="219">
        <v>84.69</v>
      </c>
      <c r="I6">
        <v>10</v>
      </c>
      <c r="J6"/>
    </row>
    <row r="7" spans="1:10" x14ac:dyDescent="0.25">
      <c r="A7">
        <v>2</v>
      </c>
      <c r="B7" s="491" t="s">
        <v>41</v>
      </c>
      <c r="C7" s="491" t="s">
        <v>69</v>
      </c>
      <c r="D7" s="491" t="s">
        <v>112</v>
      </c>
      <c r="E7" s="219">
        <v>87.062499999999986</v>
      </c>
      <c r="F7" s="219">
        <v>86.208333333333329</v>
      </c>
      <c r="G7" s="219">
        <v>79.734999999999999</v>
      </c>
      <c r="H7" s="219">
        <v>80.903999999999996</v>
      </c>
      <c r="I7">
        <v>10</v>
      </c>
      <c r="J7"/>
    </row>
    <row r="8" spans="1:10" x14ac:dyDescent="0.25">
      <c r="A8">
        <v>2</v>
      </c>
      <c r="B8" s="491" t="s">
        <v>41</v>
      </c>
      <c r="C8" s="491" t="s">
        <v>34</v>
      </c>
      <c r="D8" s="491" t="s">
        <v>34</v>
      </c>
      <c r="E8" s="219">
        <v>90.197916667499982</v>
      </c>
      <c r="F8" s="219">
        <v>89.029166667083331</v>
      </c>
      <c r="G8" s="219">
        <v>81.507499999999993</v>
      </c>
      <c r="H8" s="219">
        <v>82.314999999999984</v>
      </c>
      <c r="I8">
        <v>8</v>
      </c>
      <c r="J8"/>
    </row>
    <row r="9" spans="1:10" x14ac:dyDescent="0.25">
      <c r="A9">
        <v>2</v>
      </c>
      <c r="B9" s="491" t="s">
        <v>41</v>
      </c>
      <c r="C9" s="491" t="s">
        <v>107</v>
      </c>
      <c r="D9" s="491" t="s">
        <v>108</v>
      </c>
      <c r="E9" s="219">
        <v>86.424999999999997</v>
      </c>
      <c r="F9" s="219">
        <v>85.875</v>
      </c>
      <c r="G9" s="219">
        <v>81.027500000000003</v>
      </c>
      <c r="H9" s="219">
        <v>81.547499999999999</v>
      </c>
      <c r="I9">
        <v>4</v>
      </c>
      <c r="J9"/>
    </row>
    <row r="10" spans="1:10" x14ac:dyDescent="0.25">
      <c r="A10">
        <v>2</v>
      </c>
      <c r="B10" s="491" t="s">
        <v>41</v>
      </c>
      <c r="C10" s="491" t="s">
        <v>33</v>
      </c>
      <c r="D10" s="491" t="s">
        <v>33</v>
      </c>
      <c r="E10" s="219">
        <v>87.551388889444439</v>
      </c>
      <c r="F10" s="219">
        <v>86.068055555555546</v>
      </c>
      <c r="G10" s="219">
        <v>83.146666666666633</v>
      </c>
      <c r="H10" s="219">
        <v>83.48333333333332</v>
      </c>
      <c r="I10">
        <v>6</v>
      </c>
      <c r="J10"/>
    </row>
    <row r="11" spans="1:10" x14ac:dyDescent="0.25">
      <c r="A11">
        <v>2</v>
      </c>
      <c r="B11" s="491" t="s">
        <v>41</v>
      </c>
      <c r="C11" s="491" t="s">
        <v>62</v>
      </c>
      <c r="D11" s="491" t="s">
        <v>112</v>
      </c>
      <c r="E11" s="219">
        <v>89.145833333333329</v>
      </c>
      <c r="F11" s="219">
        <v>88.083333332999985</v>
      </c>
      <c r="G11" s="219">
        <v>81.459000000000003</v>
      </c>
      <c r="H11" s="219">
        <v>82.894999999999996</v>
      </c>
      <c r="I11">
        <v>10</v>
      </c>
      <c r="J11"/>
    </row>
    <row r="12" spans="1:10" x14ac:dyDescent="0.25">
      <c r="A12">
        <v>3</v>
      </c>
      <c r="B12" s="491" t="s">
        <v>42</v>
      </c>
      <c r="C12" s="491" t="s">
        <v>69</v>
      </c>
      <c r="D12" s="491" t="s">
        <v>112</v>
      </c>
      <c r="E12" s="219">
        <v>94.937499999333326</v>
      </c>
      <c r="F12" s="219">
        <v>91.416666666333327</v>
      </c>
      <c r="G12" s="219">
        <v>86.036000000000001</v>
      </c>
      <c r="H12" s="219">
        <v>85.184999999999988</v>
      </c>
      <c r="I12">
        <v>10</v>
      </c>
      <c r="J12"/>
    </row>
    <row r="13" spans="1:10" x14ac:dyDescent="0.25">
      <c r="A13">
        <v>3</v>
      </c>
      <c r="B13" s="491" t="s">
        <v>42</v>
      </c>
      <c r="C13" s="491" t="s">
        <v>34</v>
      </c>
      <c r="D13" s="491" t="s">
        <v>34</v>
      </c>
      <c r="E13" s="219">
        <v>95.10104166666666</v>
      </c>
      <c r="F13" s="219">
        <v>92.971874999166658</v>
      </c>
      <c r="G13" s="219">
        <v>86.78</v>
      </c>
      <c r="H13" s="219">
        <v>85.952500000000001</v>
      </c>
      <c r="I13">
        <v>8</v>
      </c>
      <c r="J13"/>
    </row>
    <row r="14" spans="1:10" x14ac:dyDescent="0.25">
      <c r="A14">
        <v>3</v>
      </c>
      <c r="B14" s="491" t="s">
        <v>42</v>
      </c>
      <c r="C14" s="491" t="s">
        <v>107</v>
      </c>
      <c r="D14" s="491" t="s">
        <v>108</v>
      </c>
      <c r="E14" s="219">
        <v>96.55</v>
      </c>
      <c r="F14" s="219">
        <v>91.3</v>
      </c>
      <c r="G14" s="219">
        <v>90.237499999999997</v>
      </c>
      <c r="H14" s="219">
        <v>86.707499999999996</v>
      </c>
      <c r="I14">
        <v>4</v>
      </c>
      <c r="J14"/>
    </row>
    <row r="15" spans="1:10" x14ac:dyDescent="0.25">
      <c r="A15">
        <v>3</v>
      </c>
      <c r="B15" s="491" t="s">
        <v>42</v>
      </c>
      <c r="C15" s="491" t="s">
        <v>33</v>
      </c>
      <c r="D15" s="491" t="s">
        <v>33</v>
      </c>
      <c r="E15" s="219">
        <v>94.401388888333315</v>
      </c>
      <c r="F15" s="219">
        <v>90.029166667222214</v>
      </c>
      <c r="G15" s="219">
        <v>88.303333333333342</v>
      </c>
      <c r="H15" s="219">
        <v>87.368333333333339</v>
      </c>
      <c r="I15">
        <v>6</v>
      </c>
      <c r="J15"/>
    </row>
    <row r="16" spans="1:10" x14ac:dyDescent="0.25">
      <c r="A16">
        <v>3</v>
      </c>
      <c r="B16" s="491" t="s">
        <v>42</v>
      </c>
      <c r="C16" s="491" t="s">
        <v>62</v>
      </c>
      <c r="D16" s="491" t="s">
        <v>112</v>
      </c>
      <c r="E16" s="219">
        <v>95.812499999666656</v>
      </c>
      <c r="F16" s="219">
        <v>90.666666666333327</v>
      </c>
      <c r="G16" s="219">
        <v>87.799999999999983</v>
      </c>
      <c r="H16" s="219">
        <v>85.682000000000002</v>
      </c>
      <c r="I16">
        <v>10</v>
      </c>
      <c r="J16"/>
    </row>
    <row r="17" spans="1:10" x14ac:dyDescent="0.25">
      <c r="A17">
        <v>4</v>
      </c>
      <c r="B17" s="491" t="s">
        <v>43</v>
      </c>
      <c r="C17" s="491" t="s">
        <v>69</v>
      </c>
      <c r="D17" s="491" t="s">
        <v>112</v>
      </c>
      <c r="E17" s="219">
        <v>89.874999998999996</v>
      </c>
      <c r="F17" s="219">
        <v>87.958333333666658</v>
      </c>
      <c r="G17" s="219">
        <v>81.299000000000007</v>
      </c>
      <c r="H17" s="219">
        <v>82.253</v>
      </c>
      <c r="I17">
        <v>10</v>
      </c>
      <c r="J17"/>
    </row>
    <row r="18" spans="1:10" x14ac:dyDescent="0.25">
      <c r="A18">
        <v>4</v>
      </c>
      <c r="B18" s="491" t="s">
        <v>43</v>
      </c>
      <c r="C18" s="491" t="s">
        <v>34</v>
      </c>
      <c r="D18" s="491" t="s">
        <v>34</v>
      </c>
      <c r="E18" s="219">
        <v>89.739999999999981</v>
      </c>
      <c r="F18" s="219">
        <v>88.810000000666662</v>
      </c>
      <c r="G18" s="219">
        <v>80.933999999999997</v>
      </c>
      <c r="H18" s="219">
        <v>81.567999999999984</v>
      </c>
      <c r="I18">
        <v>5</v>
      </c>
      <c r="J18"/>
    </row>
    <row r="19" spans="1:10" x14ac:dyDescent="0.25">
      <c r="A19">
        <v>4</v>
      </c>
      <c r="B19" s="491" t="s">
        <v>43</v>
      </c>
      <c r="C19" s="491" t="s">
        <v>33</v>
      </c>
      <c r="D19" s="491" t="s">
        <v>33</v>
      </c>
      <c r="E19" s="219">
        <v>88.406666665999978</v>
      </c>
      <c r="F19" s="219">
        <v>86.711666668666652</v>
      </c>
      <c r="G19" s="219">
        <v>82.763999999999996</v>
      </c>
      <c r="H19" s="219">
        <v>82.498000000000005</v>
      </c>
      <c r="I19">
        <v>5</v>
      </c>
      <c r="J19"/>
    </row>
    <row r="20" spans="1:10" x14ac:dyDescent="0.25">
      <c r="A20">
        <v>4</v>
      </c>
      <c r="B20" s="491" t="s">
        <v>43</v>
      </c>
      <c r="C20" s="491" t="s">
        <v>62</v>
      </c>
      <c r="D20" s="491" t="s">
        <v>112</v>
      </c>
      <c r="E20" s="219">
        <v>90.708333332999985</v>
      </c>
      <c r="F20" s="219">
        <v>89.541666665666654</v>
      </c>
      <c r="G20" s="219">
        <v>83.021999999999991</v>
      </c>
      <c r="H20" s="219">
        <v>83.998999999999995</v>
      </c>
      <c r="I20">
        <v>10</v>
      </c>
      <c r="J20"/>
    </row>
    <row r="21" spans="1:10" x14ac:dyDescent="0.25">
      <c r="A21">
        <v>5</v>
      </c>
      <c r="B21" s="491" t="s">
        <v>44</v>
      </c>
      <c r="C21" s="491" t="s">
        <v>69</v>
      </c>
      <c r="D21" s="491" t="s">
        <v>112</v>
      </c>
      <c r="E21" s="219">
        <v>99.791666667000001</v>
      </c>
      <c r="F21" s="219">
        <v>86.937499998999996</v>
      </c>
      <c r="G21" s="219">
        <v>89.268000000000001</v>
      </c>
      <c r="H21" s="219">
        <v>81.474000000000004</v>
      </c>
      <c r="I21">
        <v>10</v>
      </c>
      <c r="J21"/>
    </row>
    <row r="22" spans="1:10" x14ac:dyDescent="0.25">
      <c r="A22">
        <v>5</v>
      </c>
      <c r="B22" s="491" t="s">
        <v>44</v>
      </c>
      <c r="C22" s="491" t="s">
        <v>34</v>
      </c>
      <c r="D22" s="491" t="s">
        <v>34</v>
      </c>
      <c r="E22" s="219">
        <v>99.916666666666657</v>
      </c>
      <c r="F22" s="219">
        <v>90.360000000666645</v>
      </c>
      <c r="G22" s="219">
        <v>90.236000000000004</v>
      </c>
      <c r="H22" s="219">
        <v>83.552000000000007</v>
      </c>
      <c r="I22">
        <v>5</v>
      </c>
    </row>
    <row r="23" spans="1:10" x14ac:dyDescent="0.25">
      <c r="A23">
        <v>5</v>
      </c>
      <c r="B23" s="491" t="s">
        <v>44</v>
      </c>
      <c r="C23" s="491" t="s">
        <v>33</v>
      </c>
      <c r="D23" s="491" t="s">
        <v>33</v>
      </c>
      <c r="E23" s="219">
        <v>99.339999999333315</v>
      </c>
      <c r="F23" s="219">
        <v>88.893333332666657</v>
      </c>
      <c r="G23" s="219">
        <v>90.701999999999998</v>
      </c>
      <c r="H23" s="219">
        <v>85.61999999999999</v>
      </c>
      <c r="I23">
        <v>5</v>
      </c>
    </row>
    <row r="24" spans="1:10" x14ac:dyDescent="0.25">
      <c r="A24">
        <v>5</v>
      </c>
      <c r="B24" s="491" t="s">
        <v>44</v>
      </c>
      <c r="C24" s="491" t="s">
        <v>62</v>
      </c>
      <c r="D24" s="491" t="s">
        <v>112</v>
      </c>
      <c r="E24" s="219">
        <v>99.083333333333314</v>
      </c>
      <c r="F24" s="219">
        <v>88.979166666999987</v>
      </c>
      <c r="G24" s="219">
        <v>90.275999999999996</v>
      </c>
      <c r="H24" s="219">
        <v>83.718000000000004</v>
      </c>
      <c r="I24">
        <v>10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AAFFCE-6E95-4CBC-8FF2-C36FB316B0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 up</vt:lpstr>
      <vt:lpstr>Data</vt:lpstr>
      <vt:lpstr>cl_type</vt:lpstr>
      <vt:lpstr>loss_type</vt:lpstr>
      <vt:lpstr>sampling_gs</vt:lpstr>
      <vt:lpstr>initialization</vt:lpstr>
      <vt:lpstr>cl_ratios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Nosgraph</dc:creator>
  <cp:lastModifiedBy>Erik Recio Armengol</cp:lastModifiedBy>
  <dcterms:created xsi:type="dcterms:W3CDTF">2015-06-05T18:17:20Z</dcterms:created>
  <dcterms:modified xsi:type="dcterms:W3CDTF">2024-01-28T19:07:33Z</dcterms:modified>
</cp:coreProperties>
</file>